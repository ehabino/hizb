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360" firstSheet="0" activeTab="2" autoFilterDateGrouping="1"/>
  </bookViews>
  <sheets>
    <sheet xmlns:r="http://schemas.openxmlformats.org/officeDocument/2006/relationships" name="محضــــــــــــر الجلســــــــة" sheetId="1" state="visible" r:id="rId1"/>
    <sheet xmlns:r="http://schemas.openxmlformats.org/officeDocument/2006/relationships" name="بنود الفنيين" sheetId="2" state="visible" r:id="rId2"/>
    <sheet xmlns:r="http://schemas.openxmlformats.org/officeDocument/2006/relationships" name="تكلــــــيفــــــــــات" sheetId="3" state="visible" r:id="rId3"/>
    <sheet xmlns:r="http://schemas.openxmlformats.org/officeDocument/2006/relationships" name="الخطة" sheetId="4" state="visible" r:id="rId4"/>
  </sheets>
  <externalReferences>
    <externalReference xmlns:r="http://schemas.openxmlformats.org/officeDocument/2006/relationships" r:id="rId5"/>
  </externalReferences>
  <definedNames>
    <definedName name="_xlnm._FilterDatabase" localSheetId="3" hidden="1">'الخطة'!$A$1:$K$30</definedName>
  </definedNames>
  <calcPr calcId="191029" fullCalcOnLoad="1"/>
</workbook>
</file>

<file path=xl/styles.xml><?xml version="1.0" encoding="utf-8"?>
<styleSheet xmlns="http://schemas.openxmlformats.org/spreadsheetml/2006/main">
  <numFmts count="2">
    <numFmt numFmtId="164" formatCode="[$-409]h:mm\ AM/PM;@"/>
    <numFmt numFmtId="165" formatCode="[$-409]d\-mmm\-yy;@"/>
  </numFmts>
  <fonts count="23">
    <font>
      <name val="Aptos Narrow"/>
      <family val="2"/>
      <color theme="1"/>
      <sz val="11"/>
      <scheme val="minor"/>
    </font>
    <font>
      <name val="Aptos Narrow"/>
      <family val="2"/>
      <color theme="1"/>
      <sz val="11"/>
      <scheme val="minor"/>
    </font>
    <font>
      <name val="Dubai"/>
      <family val="2"/>
      <b val="1"/>
      <color theme="0"/>
      <sz val="12"/>
    </font>
    <font>
      <name val="Dubai"/>
      <family val="2"/>
      <color theme="1"/>
      <sz val="12"/>
    </font>
    <font>
      <name val="Dubai"/>
      <family val="2"/>
      <b val="1"/>
      <i val="1"/>
      <color rgb="FFFFC000"/>
      <sz val="12"/>
    </font>
    <font>
      <name val="Dubai"/>
      <family val="2"/>
      <b val="1"/>
      <sz val="12"/>
    </font>
    <font>
      <name val="Dubai"/>
      <family val="2"/>
      <b val="1"/>
      <color rgb="FFFFFFFF"/>
      <sz val="12"/>
    </font>
    <font>
      <name val="Dubai"/>
      <family val="2"/>
      <b val="1"/>
      <color theme="0"/>
      <sz val="14"/>
    </font>
    <font>
      <name val="Dubai"/>
      <family val="2"/>
      <b val="1"/>
      <color theme="0"/>
      <sz val="16"/>
    </font>
    <font>
      <name val="Dubai"/>
      <family val="2"/>
      <color theme="1"/>
      <sz val="16"/>
    </font>
    <font>
      <name val="Dubai"/>
      <family val="2"/>
      <b val="1"/>
      <color rgb="FFFFC000"/>
      <sz val="16"/>
    </font>
    <font>
      <name val="Dubai"/>
      <family val="2"/>
      <b val="1"/>
      <color rgb="FFFFFFFF"/>
      <sz val="16"/>
    </font>
    <font>
      <name val="Dubai"/>
      <family val="2"/>
      <b val="1"/>
      <color theme="1"/>
      <sz val="12"/>
    </font>
    <font>
      <name val="Dubai"/>
      <family val="2"/>
      <b val="1"/>
      <color rgb="FFC00000"/>
      <sz val="12"/>
    </font>
    <font>
      <name val="Dubai"/>
      <family val="2"/>
      <b val="1"/>
      <color theme="3" tint="0.249977111117893"/>
      <sz val="12"/>
    </font>
    <font>
      <name val="Dubai"/>
      <family val="2"/>
      <color theme="8" tint="-0.499984740745262"/>
      <sz val="12"/>
    </font>
    <font>
      <name val="Aptos Narrow"/>
      <family val="2"/>
      <sz val="8"/>
      <scheme val="minor"/>
    </font>
    <font>
      <name val="Dubai"/>
      <family val="2"/>
      <b val="1"/>
      <color rgb="FFFF0000"/>
      <sz val="12"/>
    </font>
    <font>
      <name val="Dubai"/>
      <family val="2"/>
      <b val="1"/>
      <color rgb="FF00B050"/>
      <sz val="12"/>
    </font>
    <font>
      <name val="Dubai"/>
      <family val="2"/>
      <b val="1"/>
      <color theme="0"/>
      <sz val="10"/>
    </font>
    <font>
      <name val="Aptos Narrow"/>
      <family val="2"/>
      <color theme="1"/>
      <sz val="10"/>
      <scheme val="minor"/>
    </font>
    <font>
      <name val="Dubai"/>
      <family val="2"/>
      <color theme="1"/>
      <sz val="10"/>
    </font>
    <font>
      <name val="Segoe UI"/>
      <family val="2"/>
      <color theme="1"/>
      <sz val="10.5"/>
    </font>
  </fonts>
  <fills count="13">
    <fill>
      <patternFill/>
    </fill>
    <fill>
      <patternFill patternType="gray125"/>
    </fill>
    <fill>
      <patternFill patternType="solid">
        <fgColor theme="7"/>
        <bgColor indexed="64"/>
      </patternFill>
    </fill>
    <fill>
      <patternFill patternType="solid">
        <fgColor theme="7"/>
        <bgColor theme="7"/>
      </patternFill>
    </fill>
    <fill>
      <patternFill patternType="solid">
        <fgColor theme="7"/>
        <bgColor theme="7" tint="0.7999816888943144"/>
      </patternFill>
    </fill>
    <fill>
      <patternFill patternType="solid">
        <fgColor theme="7" tint="0.7999816888943144"/>
        <bgColor theme="7" tint="0.7999816888943144"/>
      </patternFill>
    </fill>
    <fill>
      <patternFill patternType="solid">
        <fgColor theme="1"/>
        <bgColor indexed="64"/>
      </patternFill>
    </fill>
    <fill>
      <patternFill patternType="solid">
        <fgColor theme="0"/>
        <bgColor theme="7" tint="0.7999816888943144"/>
      </patternFill>
    </fill>
    <fill>
      <patternFill patternType="solid">
        <fgColor theme="4"/>
        <bgColor indexed="64"/>
      </patternFill>
    </fill>
    <fill>
      <patternFill patternType="solid">
        <fgColor theme="7"/>
        <bgColor rgb="FF000000"/>
      </patternFill>
    </fill>
    <fill>
      <patternFill patternType="solid">
        <fgColor theme="4"/>
        <bgColor theme="4"/>
      </patternFill>
    </fill>
    <fill>
      <patternFill patternType="solid">
        <fgColor rgb="FF00B050"/>
        <bgColor indexed="64"/>
      </patternFill>
    </fill>
    <fill>
      <patternFill patternType="solid">
        <fgColor theme="4" tint="0.7999816888943144"/>
        <bgColor theme="4" tint="0.7999816888943144"/>
      </patternFill>
    </fill>
  </fills>
  <borders count="17">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style="thin">
        <color indexed="64"/>
      </left>
      <right/>
      <top/>
      <bottom/>
      <diagonal/>
    </border>
  </borders>
  <cellStyleXfs count="3">
    <xf numFmtId="0" fontId="1" fillId="0" borderId="0"/>
    <xf numFmtId="9" fontId="1" fillId="0" borderId="0"/>
    <xf numFmtId="0" fontId="1" fillId="0" borderId="0"/>
  </cellStyleXfs>
  <cellXfs count="115">
    <xf numFmtId="0" fontId="0" fillId="0" borderId="0" pivotButton="0" quotePrefix="0" xfId="0"/>
    <xf numFmtId="164" fontId="3" fillId="0" borderId="3" applyAlignment="1" applyProtection="1" pivotButton="0" quotePrefix="0" xfId="0">
      <alignment horizontal="center" vertical="center" readingOrder="2"/>
      <protection locked="0" hidden="0"/>
    </xf>
    <xf numFmtId="0" fontId="2" fillId="3" borderId="3" applyAlignment="1" applyProtection="1" pivotButton="0" quotePrefix="0" xfId="0">
      <alignment horizontal="center" vertical="center" readingOrder="2"/>
      <protection locked="0" hidden="0"/>
    </xf>
    <xf numFmtId="0" fontId="3" fillId="0" borderId="0" applyAlignment="1" applyProtection="1" pivotButton="0" quotePrefix="0" xfId="0">
      <alignment horizontal="center" vertical="center"/>
      <protection locked="0" hidden="0"/>
    </xf>
    <xf numFmtId="9" fontId="3" fillId="5" borderId="1" applyAlignment="1" pivotButton="0" quotePrefix="0" xfId="1">
      <alignment horizontal="center" vertical="center"/>
    </xf>
    <xf numFmtId="9" fontId="3" fillId="7" borderId="1" applyAlignment="1" pivotButton="0" quotePrefix="0" xfId="1">
      <alignment horizontal="center" vertical="center"/>
    </xf>
    <xf numFmtId="9" fontId="2" fillId="4" borderId="9" applyAlignment="1" pivotButton="0" quotePrefix="0" xfId="1">
      <alignment horizontal="center" vertical="center"/>
    </xf>
    <xf numFmtId="0" fontId="3" fillId="0" borderId="4" applyAlignment="1" applyProtection="1" pivotButton="0" quotePrefix="0" xfId="0">
      <alignment horizontal="center" vertical="center"/>
      <protection locked="0" hidden="0"/>
    </xf>
    <xf numFmtId="0" fontId="3" fillId="0" borderId="5" applyAlignment="1" applyProtection="1" pivotButton="0" quotePrefix="0" xfId="0">
      <alignment horizontal="center" vertical="center"/>
      <protection locked="0" hidden="0"/>
    </xf>
    <xf numFmtId="0" fontId="3" fillId="5" borderId="3" applyAlignment="1" pivotButton="0" quotePrefix="0" xfId="0">
      <alignment horizontal="center" vertical="center"/>
    </xf>
    <xf numFmtId="0" fontId="3" fillId="7" borderId="3" applyAlignment="1" pivotButton="0" quotePrefix="0" xfId="0">
      <alignment horizontal="center" vertical="center"/>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center" vertical="center"/>
      <protection locked="0" hidden="0"/>
    </xf>
    <xf numFmtId="0" fontId="3" fillId="0" borderId="9" applyAlignment="1" applyProtection="1" pivotButton="0" quotePrefix="0" xfId="0">
      <alignment horizontal="center" vertical="center"/>
      <protection locked="0" hidden="0"/>
    </xf>
    <xf numFmtId="0" fontId="3" fillId="0" borderId="2" applyAlignment="1" applyProtection="1" pivotButton="0" quotePrefix="0" xfId="0">
      <alignment horizontal="center" vertical="center"/>
      <protection locked="0" hidden="0"/>
    </xf>
    <xf numFmtId="0" fontId="3" fillId="0" borderId="3" applyAlignment="1" applyProtection="1" pivotButton="0" quotePrefix="0" xfId="0">
      <alignment horizontal="center" vertical="center"/>
      <protection locked="0" hidden="0"/>
    </xf>
    <xf numFmtId="0" fontId="3" fillId="0" borderId="1" applyAlignment="1" applyProtection="1" pivotButton="0" quotePrefix="0" xfId="0">
      <alignment horizontal="center" vertical="center"/>
      <protection locked="0" hidden="0"/>
    </xf>
    <xf numFmtId="0" fontId="2" fillId="3" borderId="7" applyAlignment="1" pivotButton="0" quotePrefix="0" xfId="0">
      <alignment horizontal="center" vertical="center"/>
    </xf>
    <xf numFmtId="0" fontId="2" fillId="3" borderId="4" applyAlignment="1" pivotButton="0" quotePrefix="0" xfId="0">
      <alignment horizontal="center" vertical="center"/>
    </xf>
    <xf numFmtId="0" fontId="2" fillId="3" borderId="5" applyAlignment="1" pivotButton="0" quotePrefix="0" xfId="0">
      <alignment horizontal="center" vertical="center"/>
    </xf>
    <xf numFmtId="0" fontId="2" fillId="2" borderId="2" applyAlignment="1" pivotButton="0" quotePrefix="0" xfId="0">
      <alignment horizontal="center" vertical="center"/>
    </xf>
    <xf numFmtId="0" fontId="2" fillId="2" borderId="8" applyAlignment="1" pivotButton="0" quotePrefix="0" xfId="0">
      <alignment horizontal="center" vertical="center"/>
    </xf>
    <xf numFmtId="0" fontId="2" fillId="4" borderId="6" applyAlignment="1" pivotButton="0" quotePrefix="0" xfId="0">
      <alignment horizontal="center" vertical="center"/>
    </xf>
    <xf numFmtId="0" fontId="3" fillId="0" borderId="3" applyAlignment="1" applyProtection="1" pivotButton="0" quotePrefix="0" xfId="0">
      <alignment horizontal="center" vertical="center" wrapText="1"/>
      <protection locked="0" hidden="0"/>
    </xf>
    <xf numFmtId="0" fontId="3" fillId="6" borderId="2" applyAlignment="1" applyProtection="1" pivotButton="0" quotePrefix="0" xfId="0">
      <alignment horizontal="center" vertical="center"/>
      <protection locked="0" hidden="0"/>
    </xf>
    <xf numFmtId="0" fontId="3" fillId="6" borderId="3" applyAlignment="1" applyProtection="1" pivotButton="0" quotePrefix="0" xfId="0">
      <alignment horizontal="center" vertical="center"/>
      <protection locked="0" hidden="0"/>
    </xf>
    <xf numFmtId="164" fontId="5" fillId="2" borderId="3" applyAlignment="1" pivotButton="0" quotePrefix="0" xfId="1">
      <alignment horizontal="center" vertical="center" readingOrder="2"/>
    </xf>
    <xf numFmtId="0" fontId="1" fillId="0" borderId="0" pivotButton="0" quotePrefix="0" xfId="2"/>
    <xf numFmtId="0" fontId="7" fillId="2" borderId="3" applyAlignment="1" pivotButton="0" quotePrefix="0" xfId="2">
      <alignment horizontal="center" vertical="center" readingOrder="2"/>
    </xf>
    <xf numFmtId="0" fontId="7" fillId="3" borderId="3" applyAlignment="1" pivotButton="0" quotePrefix="0" xfId="2">
      <alignment horizontal="center" vertical="center" readingOrder="2"/>
    </xf>
    <xf numFmtId="165" fontId="8" fillId="9" borderId="3" applyAlignment="1" applyProtection="1" pivotButton="0" quotePrefix="0" xfId="0">
      <alignment horizontal="center" vertical="center" readingOrder="2"/>
      <protection locked="0" hidden="0"/>
    </xf>
    <xf numFmtId="9" fontId="8" fillId="2" borderId="3" applyAlignment="1" applyProtection="1" pivotButton="0" quotePrefix="0" xfId="1">
      <alignment horizontal="center" vertical="center" readingOrder="2"/>
      <protection locked="0" hidden="0"/>
    </xf>
    <xf numFmtId="164" fontId="9" fillId="0" borderId="3" applyAlignment="1" applyProtection="1" pivotButton="0" quotePrefix="0" xfId="0">
      <alignment horizontal="center" vertical="center" readingOrder="2"/>
      <protection locked="0" hidden="0"/>
    </xf>
    <xf numFmtId="9" fontId="8" fillId="9" borderId="3" applyAlignment="1" applyProtection="1" pivotButton="0" quotePrefix="0" xfId="1">
      <alignment horizontal="center" vertical="center" readingOrder="2"/>
      <protection locked="0" hidden="0"/>
    </xf>
    <xf numFmtId="9" fontId="9" fillId="0" borderId="3" applyAlignment="1" applyProtection="1" pivotButton="0" quotePrefix="0" xfId="1">
      <alignment horizontal="center" vertical="center" readingOrder="2"/>
      <protection locked="0" hidden="0"/>
    </xf>
    <xf numFmtId="0" fontId="2" fillId="3" borderId="3" applyAlignment="1" applyProtection="1" pivotButton="0" quotePrefix="0" xfId="0">
      <alignment readingOrder="2"/>
      <protection locked="0" hidden="0"/>
    </xf>
    <xf numFmtId="9" fontId="5" fillId="4" borderId="3" applyAlignment="1" pivotButton="0" quotePrefix="0" xfId="1">
      <alignment readingOrder="2"/>
    </xf>
    <xf numFmtId="9" fontId="5" fillId="2" borderId="3" applyAlignment="1" pivotButton="0" quotePrefix="0" xfId="1">
      <alignment readingOrder="2"/>
    </xf>
    <xf numFmtId="0" fontId="4" fillId="6" borderId="8" applyAlignment="1" applyProtection="1" pivotButton="0" quotePrefix="0" xfId="0">
      <alignment readingOrder="2"/>
      <protection locked="0" hidden="0"/>
    </xf>
    <xf numFmtId="0" fontId="4" fillId="6" borderId="10" applyAlignment="1" applyProtection="1" pivotButton="0" quotePrefix="0" xfId="0">
      <alignment horizontal="center" vertical="center" readingOrder="2"/>
      <protection locked="0" hidden="0"/>
    </xf>
    <xf numFmtId="0" fontId="4" fillId="6" borderId="8" applyAlignment="1" applyProtection="1" pivotButton="0" quotePrefix="0" xfId="0">
      <alignment horizontal="center" vertical="center" readingOrder="2"/>
      <protection locked="0" hidden="0"/>
    </xf>
    <xf numFmtId="0" fontId="3" fillId="0" borderId="7" applyAlignment="1" applyProtection="1" pivotButton="0" quotePrefix="0" xfId="0">
      <alignment horizontal="center" vertical="center" readingOrder="2"/>
      <protection locked="0" hidden="0"/>
    </xf>
    <xf numFmtId="0" fontId="3" fillId="0" borderId="4" applyAlignment="1" applyProtection="1" pivotButton="0" quotePrefix="0" xfId="0">
      <alignment horizontal="center" vertical="center" readingOrder="2"/>
      <protection locked="0" hidden="0"/>
    </xf>
    <xf numFmtId="0" fontId="3" fillId="0" borderId="0" applyAlignment="1" applyProtection="1" pivotButton="0" quotePrefix="0" xfId="0">
      <alignment horizontal="center" vertical="center" readingOrder="2"/>
      <protection locked="0" hidden="0"/>
    </xf>
    <xf numFmtId="9" fontId="5" fillId="8" borderId="2" applyAlignment="1" pivotButton="0" quotePrefix="0" xfId="1">
      <alignment horizontal="center" vertical="center" readingOrder="2"/>
    </xf>
    <xf numFmtId="164" fontId="3" fillId="0" borderId="0" applyAlignment="1" applyProtection="1" pivotButton="0" quotePrefix="0" xfId="0">
      <alignment horizontal="center" vertical="center" readingOrder="2"/>
      <protection locked="0" hidden="0"/>
    </xf>
    <xf numFmtId="9" fontId="5" fillId="2" borderId="2" applyAlignment="1" pivotButton="0" quotePrefix="0" xfId="1">
      <alignment horizontal="center" vertical="center" readingOrder="2"/>
    </xf>
    <xf numFmtId="164" fontId="3" fillId="6" borderId="1" applyAlignment="1" applyProtection="1" pivotButton="0" quotePrefix="0" xfId="0">
      <alignment horizontal="center" vertical="center" readingOrder="2"/>
      <protection locked="0" hidden="0"/>
    </xf>
    <xf numFmtId="164" fontId="3" fillId="6" borderId="3" applyAlignment="1" applyProtection="1" pivotButton="0" quotePrefix="0" xfId="0">
      <alignment horizontal="center" vertical="center" readingOrder="2"/>
      <protection locked="0" hidden="0"/>
    </xf>
    <xf numFmtId="164" fontId="3" fillId="2" borderId="1" applyAlignment="1" applyProtection="1" pivotButton="0" quotePrefix="0" xfId="0">
      <alignment horizontal="center" vertical="center" readingOrder="2"/>
      <protection locked="0" hidden="0"/>
    </xf>
    <xf numFmtId="164" fontId="3" fillId="0" borderId="3" applyAlignment="1" applyProtection="1" pivotButton="0" quotePrefix="0" xfId="0">
      <alignment horizontal="center" vertical="center" wrapText="1" readingOrder="2"/>
      <protection locked="0" hidden="0"/>
    </xf>
    <xf numFmtId="0" fontId="3" fillId="0" borderId="0" applyAlignment="1" applyProtection="1" pivotButton="0" quotePrefix="0" xfId="0">
      <alignment readingOrder="2"/>
      <protection locked="0" hidden="0"/>
    </xf>
    <xf numFmtId="9" fontId="3" fillId="0" borderId="0" applyAlignment="1" applyProtection="1" pivotButton="0" quotePrefix="0" xfId="1">
      <alignment horizontal="center" vertical="center"/>
      <protection locked="0" hidden="0"/>
    </xf>
    <xf numFmtId="0" fontId="3" fillId="6" borderId="1" applyAlignment="1" applyProtection="1" pivotButton="0" quotePrefix="0" xfId="0">
      <alignment horizontal="center" vertical="center"/>
      <protection locked="0" hidden="0"/>
    </xf>
    <xf numFmtId="0" fontId="19" fillId="10" borderId="14" applyAlignment="1" pivotButton="0" quotePrefix="0" xfId="0">
      <alignment horizontal="center" vertical="center" wrapText="1" readingOrder="2"/>
    </xf>
    <xf numFmtId="0" fontId="19" fillId="10" borderId="14" applyAlignment="1" pivotButton="0" quotePrefix="0" xfId="0">
      <alignment horizontal="center" vertical="center" readingOrder="2"/>
    </xf>
    <xf numFmtId="0" fontId="19" fillId="11" borderId="14" applyAlignment="1" pivotButton="0" quotePrefix="0" xfId="0">
      <alignment horizontal="center" vertical="center" wrapText="1" readingOrder="2"/>
    </xf>
    <xf numFmtId="9" fontId="19" fillId="10" borderId="14" applyAlignment="1" pivotButton="0" quotePrefix="0" xfId="1">
      <alignment horizontal="center" vertical="center" readingOrder="2"/>
    </xf>
    <xf numFmtId="0" fontId="19" fillId="10" borderId="15" applyAlignment="1" pivotButton="0" quotePrefix="0" xfId="0">
      <alignment horizontal="center" vertical="center" readingOrder="2"/>
    </xf>
    <xf numFmtId="0" fontId="20" fillId="0" borderId="0" pivotButton="0" quotePrefix="0" xfId="0"/>
    <xf numFmtId="0" fontId="21" fillId="12" borderId="14" applyAlignment="1" pivotButton="0" quotePrefix="0" xfId="0">
      <alignment horizontal="center" vertical="center" wrapText="1" readingOrder="2"/>
    </xf>
    <xf numFmtId="0" fontId="21" fillId="12" borderId="14" applyAlignment="1" pivotButton="0" quotePrefix="0" xfId="0">
      <alignment horizontal="center" vertical="center" readingOrder="2"/>
    </xf>
    <xf numFmtId="9" fontId="21" fillId="12" borderId="14" applyAlignment="1" pivotButton="0" quotePrefix="0" xfId="1">
      <alignment horizontal="center" vertical="center" readingOrder="2"/>
    </xf>
    <xf numFmtId="0" fontId="21" fillId="12" borderId="15" applyAlignment="1" pivotButton="0" quotePrefix="0" xfId="0">
      <alignment horizontal="center" vertical="center" readingOrder="2"/>
    </xf>
    <xf numFmtId="0" fontId="21" fillId="0" borderId="14" applyAlignment="1" pivotButton="0" quotePrefix="0" xfId="0">
      <alignment horizontal="center" vertical="center" wrapText="1" readingOrder="2"/>
    </xf>
    <xf numFmtId="0" fontId="21" fillId="0" borderId="14" applyAlignment="1" pivotButton="0" quotePrefix="0" xfId="0">
      <alignment horizontal="center" vertical="center" readingOrder="2"/>
    </xf>
    <xf numFmtId="9" fontId="21" fillId="0" borderId="14" applyAlignment="1" pivotButton="0" quotePrefix="0" xfId="1">
      <alignment horizontal="center" vertical="center" readingOrder="2"/>
    </xf>
    <xf numFmtId="0" fontId="21" fillId="0" borderId="15" applyAlignment="1" pivotButton="0" quotePrefix="0" xfId="0">
      <alignment horizontal="center" vertical="center" readingOrder="2"/>
    </xf>
    <xf numFmtId="0" fontId="21" fillId="12" borderId="14" applyAlignment="1" pivotButton="0" quotePrefix="0" xfId="1">
      <alignment horizontal="center" vertical="center" readingOrder="2"/>
    </xf>
    <xf numFmtId="0" fontId="21" fillId="0" borderId="14" applyAlignment="1" pivotButton="0" quotePrefix="0" xfId="1">
      <alignment horizontal="center" vertical="center" readingOrder="2"/>
    </xf>
    <xf numFmtId="0" fontId="8" fillId="3" borderId="6" applyAlignment="1" applyProtection="1" pivotButton="0" quotePrefix="0" xfId="0">
      <alignment horizontal="center" vertical="top" wrapText="1" readingOrder="2"/>
      <protection locked="0" hidden="0"/>
    </xf>
    <xf numFmtId="0" fontId="8" fillId="3" borderId="12" applyAlignment="1" applyProtection="1" pivotButton="0" quotePrefix="0" xfId="0">
      <alignment horizontal="center" vertical="top" wrapText="1" readingOrder="2"/>
      <protection locked="0" hidden="0"/>
    </xf>
    <xf numFmtId="0" fontId="11" fillId="9" borderId="1" applyAlignment="1" pivotButton="0" quotePrefix="0" xfId="0">
      <alignment horizontal="center" vertical="center" readingOrder="2"/>
    </xf>
    <xf numFmtId="0" fontId="11" fillId="9" borderId="11" applyAlignment="1" pivotButton="0" quotePrefix="0" xfId="0">
      <alignment horizontal="center" vertical="center" readingOrder="2"/>
    </xf>
    <xf numFmtId="0" fontId="11" fillId="9" borderId="2" applyAlignment="1" pivotButton="0" quotePrefix="0" xfId="0">
      <alignment horizontal="center" vertical="center" readingOrder="2"/>
    </xf>
    <xf numFmtId="165" fontId="8" fillId="9" borderId="3" applyAlignment="1" applyProtection="1" pivotButton="0" quotePrefix="0" xfId="0">
      <alignment horizontal="center" vertical="center" readingOrder="2"/>
      <protection locked="0" hidden="0"/>
    </xf>
    <xf numFmtId="0" fontId="8" fillId="9" borderId="3" applyAlignment="1" applyProtection="1" pivotButton="0" quotePrefix="0" xfId="0">
      <alignment horizontal="center" vertical="center" readingOrder="2"/>
      <protection locked="0" hidden="0"/>
    </xf>
    <xf numFmtId="0" fontId="8" fillId="2" borderId="1" applyAlignment="1" applyProtection="1" pivotButton="0" quotePrefix="0" xfId="0">
      <alignment horizontal="center" vertical="center" readingOrder="2"/>
      <protection locked="0" hidden="0"/>
    </xf>
    <xf numFmtId="0" fontId="8" fillId="2" borderId="11" applyAlignment="1" applyProtection="1" pivotButton="0" quotePrefix="0" xfId="0">
      <alignment horizontal="center" vertical="center" readingOrder="2"/>
      <protection locked="0" hidden="0"/>
    </xf>
    <xf numFmtId="0" fontId="8" fillId="2" borderId="2" applyAlignment="1" applyProtection="1" pivotButton="0" quotePrefix="0" xfId="0">
      <alignment horizontal="center" vertical="center" readingOrder="2"/>
      <protection locked="0" hidden="0"/>
    </xf>
    <xf numFmtId="0" fontId="11" fillId="9" borderId="9" applyAlignment="1" pivotButton="0" quotePrefix="0" xfId="0">
      <alignment horizontal="center" vertical="center" wrapText="1" readingOrder="2"/>
    </xf>
    <xf numFmtId="0" fontId="11" fillId="9" borderId="10" applyAlignment="1" pivotButton="0" quotePrefix="0" xfId="0">
      <alignment horizontal="center" vertical="center" wrapText="1" readingOrder="2"/>
    </xf>
    <xf numFmtId="0" fontId="11" fillId="9" borderId="8" applyAlignment="1" pivotButton="0" quotePrefix="0" xfId="0">
      <alignment horizontal="center" vertical="center" wrapText="1" readingOrder="2"/>
    </xf>
    <xf numFmtId="0" fontId="2" fillId="2" borderId="3" applyAlignment="1" applyProtection="1" pivotButton="0" quotePrefix="0" xfId="0">
      <alignment horizontal="center" vertical="center" readingOrder="2"/>
      <protection locked="0" hidden="0"/>
    </xf>
    <xf numFmtId="0" fontId="4" fillId="6" borderId="10" applyAlignment="1" applyProtection="1" pivotButton="0" quotePrefix="0" xfId="0">
      <alignment horizontal="center" vertical="center" readingOrder="2"/>
      <protection locked="0" hidden="0"/>
    </xf>
    <xf numFmtId="0" fontId="4" fillId="6" borderId="8" applyAlignment="1" applyProtection="1" pivotButton="0" quotePrefix="0" xfId="0">
      <alignment horizontal="center" vertical="center" readingOrder="2"/>
      <protection locked="0" hidden="0"/>
    </xf>
    <xf numFmtId="0" fontId="6" fillId="9" borderId="3" applyAlignment="1" pivotButton="0" quotePrefix="0" xfId="0">
      <alignment horizontal="center" vertical="center" wrapText="1" readingOrder="2"/>
    </xf>
    <xf numFmtId="0" fontId="6" fillId="9" borderId="0" applyAlignment="1" pivotButton="0" quotePrefix="0" xfId="0">
      <alignment horizontal="center" vertical="center" readingOrder="2"/>
    </xf>
    <xf numFmtId="0" fontId="6" fillId="9" borderId="13" applyAlignment="1" pivotButton="0" quotePrefix="0" xfId="0">
      <alignment horizontal="center" vertical="center" readingOrder="2"/>
    </xf>
    <xf numFmtId="0" fontId="2" fillId="2" borderId="1" applyAlignment="1" applyProtection="1" pivotButton="0" quotePrefix="0" xfId="0">
      <alignment horizontal="center" vertical="center" readingOrder="2"/>
      <protection locked="0" hidden="0"/>
    </xf>
    <xf numFmtId="0" fontId="2" fillId="2" borderId="2" applyAlignment="1" applyProtection="1" pivotButton="0" quotePrefix="0" xfId="0">
      <alignment horizontal="center" vertical="center" readingOrder="2"/>
      <protection locked="0" hidden="0"/>
    </xf>
    <xf numFmtId="0" fontId="2" fillId="2" borderId="3" applyAlignment="1" pivotButton="0" quotePrefix="0" xfId="0">
      <alignment horizontal="center" vertical="center" readingOrder="2"/>
    </xf>
    <xf numFmtId="0" fontId="2" fillId="2" borderId="1" applyAlignment="1" pivotButton="0" quotePrefix="0" xfId="0">
      <alignment horizontal="center" vertical="center" readingOrder="2"/>
    </xf>
    <xf numFmtId="0" fontId="2" fillId="2" borderId="2" applyAlignment="1" pivotButton="0" quotePrefix="0" xfId="0">
      <alignment horizontal="center" vertical="center" readingOrder="2"/>
    </xf>
    <xf numFmtId="0" fontId="3" fillId="0" borderId="3" applyAlignment="1" applyProtection="1" pivotButton="0" quotePrefix="0" xfId="0">
      <alignment horizontal="right" vertical="center"/>
      <protection locked="0" hidden="0"/>
    </xf>
    <xf numFmtId="0" fontId="22" fillId="0" borderId="0" applyAlignment="1" pivotButton="0" quotePrefix="0" xfId="0">
      <alignment horizontal="right"/>
    </xf>
    <xf numFmtId="0" fontId="0" fillId="0" borderId="2" applyProtection="1" pivotButton="0" quotePrefix="0" xfId="0">
      <protection locked="0" hidden="0"/>
    </xf>
    <xf numFmtId="0" fontId="0" fillId="0" borderId="11" applyProtection="1" pivotButton="0" quotePrefix="0" xfId="0">
      <protection locked="0" hidden="0"/>
    </xf>
    <xf numFmtId="0" fontId="0" fillId="0" borderId="10" applyProtection="1" pivotButton="0" quotePrefix="0" xfId="0">
      <protection locked="0" hidden="0"/>
    </xf>
    <xf numFmtId="0" fontId="0" fillId="0" borderId="8" applyProtection="1" pivotButton="0" quotePrefix="0" xfId="0">
      <protection locked="0" hidden="0"/>
    </xf>
    <xf numFmtId="0" fontId="0" fillId="0" borderId="8" pivotButton="0" quotePrefix="0" xfId="0"/>
    <xf numFmtId="0" fontId="0" fillId="0" borderId="2" pivotButton="0" quotePrefix="0" xfId="0"/>
    <xf numFmtId="0" fontId="0" fillId="0" borderId="16" pivotButton="0" quotePrefix="0" xfId="0"/>
    <xf numFmtId="0" fontId="0" fillId="0" borderId="13" pivotButton="0" quotePrefix="0" xfId="0"/>
    <xf numFmtId="0" fontId="0" fillId="0" borderId="5" pivotButton="0" quotePrefix="0" xfId="0"/>
    <xf numFmtId="0" fontId="0" fillId="0" borderId="7" pivotButton="0" quotePrefix="0" xfId="0"/>
    <xf numFmtId="0" fontId="0" fillId="0" borderId="12" applyProtection="1" pivotButton="0" quotePrefix="0" xfId="0">
      <protection locked="0" hidden="0"/>
    </xf>
    <xf numFmtId="0" fontId="0" fillId="0" borderId="5" applyProtection="1" pivotButton="0" quotePrefix="0" xfId="0">
      <protection locked="0" hidden="0"/>
    </xf>
    <xf numFmtId="0" fontId="0" fillId="0" borderId="7" applyProtection="1" pivotButton="0" quotePrefix="0" xfId="0">
      <protection locked="0" hidden="0"/>
    </xf>
    <xf numFmtId="0" fontId="11" fillId="9" borderId="6" applyAlignment="1" pivotButton="0" quotePrefix="0" xfId="0">
      <alignment horizontal="center" vertical="center" wrapText="1" readingOrder="2"/>
    </xf>
    <xf numFmtId="0" fontId="0" fillId="0" borderId="10" pivotButton="0" quotePrefix="0" xfId="0"/>
    <xf numFmtId="0" fontId="11" fillId="9" borderId="3" applyAlignment="1" pivotButton="0" quotePrefix="0" xfId="0">
      <alignment horizontal="center" vertical="center" readingOrder="2"/>
    </xf>
    <xf numFmtId="0" fontId="0" fillId="0" borderId="11" pivotButton="0" quotePrefix="0" xfId="0"/>
    <xf numFmtId="0" fontId="8" fillId="2" borderId="3" applyAlignment="1" applyProtection="1" pivotButton="0" quotePrefix="0" xfId="0">
      <alignment horizontal="center" vertical="center" readingOrder="2"/>
      <protection locked="0" hidden="0"/>
    </xf>
  </cellXfs>
  <cellStyles count="3">
    <cellStyle name="Normal" xfId="0" builtinId="0"/>
    <cellStyle name="Percent" xfId="1" builtinId="5"/>
    <cellStyle name="Normal 2" xfId="2"/>
  </cellStyles>
  <dxfs count="183">
    <dxf>
      <font>
        <color theme="0"/>
      </font>
      <fill>
        <patternFill>
          <bgColor theme="5"/>
        </patternFill>
      </fill>
    </dxf>
    <dxf>
      <font>
        <color theme="0"/>
      </font>
      <fill>
        <patternFill>
          <bgColor theme="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3" formatCode="0%"/>
      <alignment horizontal="center" vertical="center"/>
      <protection locked="1" hidden="0"/>
    </dxf>
    <dxf>
      <font>
        <name val="Dubai"/>
        <strike val="0"/>
        <outline val="0"/>
        <shadow val="0"/>
        <condense val="0"/>
        <color theme="1"/>
        <extend val="0"/>
        <sz val="12"/>
        <vertAlign val="baseline"/>
      </font>
      <fill>
        <patternFill patternType="solid">
          <fgColor theme="7" tint="0.7999816888943144"/>
          <bgColor theme="7" tint="0.7999816888943144"/>
        </patternFill>
      </fill>
      <alignment horizontal="center" vertical="center"/>
      <border>
        <left style="thin">
          <color indexed="64"/>
        </left>
        <right/>
        <top style="thin">
          <color indexed="64"/>
        </top>
        <bottom style="thin">
          <color indexed="64"/>
        </bottom>
        <vertical style="thin">
          <color indexed="64"/>
        </vertical>
        <horizontal style="thin">
          <color indexed="64"/>
        </horizontal>
      </border>
      <protection locked="1" hidden="0"/>
    </dxf>
    <dxf>
      <font>
        <name val="Dubai"/>
        <strike val="0"/>
        <outline val="0"/>
        <shadow val="0"/>
        <condense val="0"/>
        <color theme="1"/>
        <extend val="0"/>
        <sz val="12"/>
        <vertAlign val="baseline"/>
      </font>
      <fill>
        <patternFill patternType="solid">
          <fgColor theme="7" tint="0.7999816888943144"/>
          <bgColor theme="7" tint="0.7999816888943144"/>
        </patternFill>
      </fill>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name val="Dubai"/>
        <b val="1"/>
        <strike val="0"/>
        <outline val="0"/>
        <shadow val="0"/>
        <condense val="0"/>
        <color theme="0"/>
        <extend val="0"/>
        <sz val="12"/>
        <vertAlign val="baseline"/>
      </font>
      <fill>
        <patternFill patternType="solid">
          <fgColor indexed="64"/>
          <bgColor theme="7"/>
        </patternFill>
      </fill>
      <alignment horizontal="center" vertical="center"/>
      <border>
        <left/>
        <right style="thin">
          <color indexed="64"/>
        </right>
        <top style="thin">
          <color indexed="64"/>
        </top>
        <bottom style="thin">
          <color indexed="64"/>
        </bottom>
        <vertical style="thin">
          <color indexed="64"/>
        </vertical>
        <horizontal style="thin">
          <color indexed="64"/>
        </horizontal>
      </border>
      <protection locked="1" hidden="0"/>
    </dxf>
    <dxf>
      <border>
        <top style="thin">
          <color indexed="64"/>
        </top>
      </border>
    </dxf>
    <dxf>
      <border>
        <left style="thin">
          <color indexed="64"/>
        </left>
        <right style="thin">
          <color indexed="64"/>
        </right>
        <top style="thin">
          <color indexed="64"/>
        </top>
        <bottom style="thin">
          <color indexed="64"/>
        </bottom>
      </border>
    </dxf>
    <dxf>
      <alignment horizontal="center" vertical="center"/>
      <protection locked="1" hidden="0"/>
    </dxf>
    <dxf>
      <border>
        <bottom style="thin">
          <color indexed="64"/>
        </bottom>
      </border>
    </dxf>
    <dxf>
      <alignment horizontal="center" vertical="center"/>
      <border>
        <left style="thin">
          <color indexed="64"/>
        </left>
        <right style="thin">
          <color indexed="64"/>
        </right>
        <top/>
        <bottom/>
        <vertical style="thin">
          <color indexed="64"/>
        </vertical>
        <horizontal style="thin">
          <color indexed="64"/>
        </horizontal>
      </border>
      <protection locked="1" hidden="0"/>
    </dxf>
    <dxf>
      <font>
        <name val="Dubai"/>
        <strike val="0"/>
        <outline val="0"/>
        <shadow val="0"/>
        <condense val="0"/>
        <color theme="1"/>
        <extend val="0"/>
        <sz val="12"/>
        <vertAlign val="baseline"/>
      </font>
      <alignment horizontal="center" vertical="center"/>
      <border>
        <left style="thin">
          <color indexed="64"/>
        </left>
        <right/>
        <top style="thin">
          <color indexed="64"/>
        </top>
        <bottom style="thin">
          <color indexed="64"/>
        </bottom>
        <vertical style="thin">
          <color indexed="64"/>
        </vertical>
        <horizontal style="thin">
          <color indexed="64"/>
        </horizontal>
      </border>
      <protection locked="0" hidden="0"/>
    </dxf>
    <dxf>
      <font>
        <name val="Dubai"/>
        <strike val="0"/>
        <outline val="0"/>
        <shadow val="0"/>
        <condense val="0"/>
        <color theme="1"/>
        <extend val="0"/>
        <sz val="12"/>
        <vertAlign val="baseline"/>
      </font>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name val="Dubai"/>
        <strike val="0"/>
        <outline val="0"/>
        <shadow val="0"/>
        <condense val="0"/>
        <color theme="1"/>
        <extend val="0"/>
        <sz val="12"/>
        <vertAlign val="baseline"/>
      </font>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name val="Dubai"/>
        <strike val="0"/>
        <outline val="0"/>
        <shadow val="0"/>
        <condense val="0"/>
        <color theme="1"/>
        <extend val="0"/>
        <sz val="12"/>
        <vertAlign val="baseline"/>
      </font>
      <alignment horizontal="center" vertical="center"/>
      <border>
        <left/>
        <right style="thin">
          <color indexed="64"/>
        </right>
        <top style="thin">
          <color indexed="64"/>
        </top>
        <bottom style="thin">
          <color indexed="64"/>
        </bottom>
        <vertical style="thin">
          <color indexed="64"/>
        </vertical>
        <horizontal style="thin">
          <color indexed="64"/>
        </horizontal>
      </border>
      <protection locked="0" hidden="0"/>
    </dxf>
    <dxf>
      <border>
        <top style="thin">
          <color indexed="64"/>
        </top>
      </border>
    </dxf>
    <dxf>
      <border>
        <left style="thin">
          <color indexed="64"/>
        </left>
        <right style="thin">
          <color indexed="64"/>
        </right>
        <top style="thin">
          <color indexed="64"/>
        </top>
        <bottom style="thin">
          <color indexed="64"/>
        </bottom>
      </border>
    </dxf>
    <dxf>
      <font>
        <name val="Dubai"/>
        <strike val="0"/>
        <outline val="0"/>
        <shadow val="0"/>
        <condense val="0"/>
        <color theme="1"/>
        <extend val="0"/>
        <sz val="12"/>
        <vertAlign val="baseline"/>
      </font>
      <alignment horizontal="center" vertical="center"/>
      <protection locked="0" hidden="0"/>
    </dxf>
    <dxf>
      <border>
        <bottom style="thin">
          <color indexed="64"/>
        </bottom>
      </border>
    </dxf>
    <dxf>
      <font>
        <name val="Dubai"/>
        <strike val="0"/>
        <outline val="0"/>
        <shadow val="0"/>
        <condense val="0"/>
        <color theme="1"/>
        <extend val="0"/>
        <sz val="12"/>
        <vertAlign val="baseline"/>
      </font>
      <alignment horizontal="center" vertical="center"/>
      <border>
        <left style="thin">
          <color indexed="64"/>
        </left>
        <right style="thin">
          <color indexed="64"/>
        </right>
        <top/>
        <bottom/>
        <vertical style="thin">
          <color indexed="64"/>
        </vertical>
        <horizontal style="thin">
          <color indexed="64"/>
        </horizontal>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alignment horizontal="center" vertical="center" readingOrder="2"/>
      <border outline="0">
        <left style="thin">
          <color indexed="64"/>
        </left>
        <right style="thin">
          <color indexed="64"/>
        </right>
        <top style="thin">
          <color indexed="64"/>
        </top>
        <bottom style="thin">
          <color indexed="64"/>
        </bottom>
      </border>
      <protection locked="0" hidden="0"/>
    </dxf>
    <dxf>
      <font>
        <name val="Dubai"/>
        <strike val="0"/>
        <outline val="0"/>
        <shadow val="0"/>
        <condense val="0"/>
        <color theme="1"/>
        <extend val="0"/>
        <sz val="12"/>
        <vertAlign val="baseline"/>
      </font>
      <numFmt numFmtId="164" formatCode="[$-409]h:mm\ AM/PM;@"/>
      <fill>
        <patternFill>
          <fgColor indexed="64"/>
          <bgColor theme="7"/>
        </patternFill>
      </fill>
      <alignment horizontal="center" vertical="center" readingOrder="2"/>
      <border outline="0">
        <left/>
        <right style="thin">
          <color indexed="64"/>
        </right>
        <top style="thin">
          <color indexed="64"/>
        </top>
        <bottom style="thin">
          <color indexed="64"/>
        </bottom>
      </border>
      <protection locked="0" hidden="0"/>
    </dxf>
    <dxf>
      <border>
        <top style="thin">
          <color indexed="64"/>
        </top>
      </border>
    </dxf>
    <dxf>
      <border>
        <left style="thin">
          <color indexed="64"/>
        </left>
        <right style="thin">
          <color indexed="64"/>
        </right>
        <top style="thin">
          <color indexed="64"/>
        </top>
        <bottom style="thin">
          <color indexed="64"/>
        </bottom>
      </border>
    </dxf>
    <dxf>
      <font>
        <name val="Dubai"/>
        <strike val="0"/>
        <outline val="0"/>
        <shadow val="0"/>
        <condense val="0"/>
        <color theme="1"/>
        <extend val="0"/>
        <sz val="12"/>
        <vertAlign val="baseline"/>
      </font>
      <numFmt numFmtId="164" formatCode="[$-409]h:mm\ AM/PM;@"/>
      <alignment horizontal="center" vertical="center" readingOrder="2"/>
      <protection locked="0" hidden="0"/>
    </dxf>
    <dxf>
      <border>
        <bottom style="thin">
          <color indexed="64"/>
        </bottom>
      </border>
    </dxf>
    <dxf>
      <font>
        <name val="Dubai"/>
        <strike val="0"/>
        <outline val="0"/>
        <shadow val="0"/>
        <condense val="0"/>
        <color theme="1"/>
        <extend val="0"/>
        <sz val="12"/>
        <vertAlign val="baseline"/>
      </font>
      <alignment horizontal="center" vertical="center" readingOrder="2"/>
      <border outline="0">
        <left style="thin">
          <color indexed="64"/>
        </left>
        <right style="thin">
          <color indexed="64"/>
        </right>
        <top/>
        <bottom/>
      </border>
      <protection locked="0" hidden="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tc={6DA59198-6A55-4934-BBB1-A0B047D38D5D}</author>
  </authors>
  <commentList>
    <comment ref="X10" authorId="0" shapeId="0">
      <text>
        <t>[Threaded comment]
Your version of Excel allows you to read this threaded comment; however, any edits to it will get removed if the file is opened in a newer version of Excel. Learn more: https://go.microsoft.com/fwlink/?linkid=870924
Comment:
    لأصابة العملية</t>
      </text>
    </comment>
  </commentList>
</comments>
</file>

<file path=xl/externalLinks/_rels/externalLink1.xml.rels><Relationships xmlns="http://schemas.openxmlformats.org/package/2006/relationships"><Relationship Type="http://schemas.openxmlformats.org/officeDocument/2006/relationships/externalLinkPath" Target="../../../&#1575;&#1604;&#1601;&#1606;&#1610;&#1610;&#1610;&#1606;/&#1573;&#1583;&#1575;&#1585;&#1577;%20&#1575;&#1604;&#1601;&#1606;&#1610;&#1610;&#1606;/&#1580;&#1604;&#1587;&#1577;%20&#1575;&#1604;&#1601;&#1606;&#1610;&#1610;&#1606;%20&#1606;&#1607;&#1575;&#1574;&#1610;%202026%20(1).xlsb"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محضــــــــــــر الجلســــــــة"/>
      <sheetName val="تكلــــــيفــــــــــات"/>
      <sheetName val="الجلسات الإدارية للملفات"/>
      <sheetName val="اكسيلات الأرض "/>
      <sheetName val="مواعيد الملفات الفنية"/>
      <sheetName val="جلسة الفنيين نهائي 2026 (1)"/>
      <sheetName val="بنود الاجتماع"/>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tables/table1.xml><?xml version="1.0" encoding="utf-8"?>
<table xmlns="http://schemas.openxmlformats.org/spreadsheetml/2006/main" id="1" name="Table1" displayName="Table1" ref="F2:BG29" headerRowCount="1" totalsRowShown="0" headerRowDxfId="182" dataDxfId="180" headerRowBorderDxfId="181" tableBorderDxfId="179" totalsRowBorderDxfId="178">
  <tableColumns count="54">
    <tableColumn id="1" name="التكليفات" dataDxfId="177"/>
    <tableColumn id="5" name="الأسبوع الرابع /  رجب - 1447" dataDxfId="176"/>
    <tableColumn id="6" name="الأسبوع الأول /  شعبان - 1447" dataDxfId="175"/>
    <tableColumn id="7" name="الأسبوع الثاني /  شعبان - 1447" dataDxfId="174"/>
    <tableColumn id="8" name="الأسبوع الثالث /  شعبان - 1447" dataDxfId="173"/>
    <tableColumn id="9" name="الأسبوع الرابع /  شعبان - 1447" dataDxfId="172"/>
    <tableColumn id="10" name="الأسبوع الأول /  رمضان - 1447" dataDxfId="171"/>
    <tableColumn id="11" name="الأسبوع الثاني /  رمضان - 1447" dataDxfId="170"/>
    <tableColumn id="12" name="الأسبوع الثالث /  رمضان - 1447" dataDxfId="169"/>
    <tableColumn id="13" name="الأسبوع الرابع /  رمضان - 1447" dataDxfId="168"/>
    <tableColumn id="14" name="الأسبوع الأول /  شوال - 1447" dataDxfId="167"/>
    <tableColumn id="15" name="الأسبوع الثاني /  شوال - 1447" dataDxfId="166"/>
    <tableColumn id="16" name="الأسبوع الثالث /  شوال - 1447" dataDxfId="165"/>
    <tableColumn id="17" name="الأسبوع الرابع /  شوال - 1447" dataDxfId="164"/>
    <tableColumn id="18" name="الأسبوع الخامس /  شوال - 1447" dataDxfId="163"/>
    <tableColumn id="19" name="الأسبوع الأول /  ذو القعدة - 1447" dataDxfId="162"/>
    <tableColumn id="20" name="الأسبوع الثاني /  ذو القعدة - 1447" dataDxfId="161"/>
    <tableColumn id="21" name="الأسبوع الثالث /  ذو القعدة - 1447" dataDxfId="160"/>
    <tableColumn id="22" name="الأسبوع الرابع /  ذو القعدة - 1447" dataDxfId="159"/>
    <tableColumn id="23" name="الأسبوع الأول /  ذو الحجة - 1447" dataDxfId="158"/>
    <tableColumn id="24" name="الأسبوع الثاني /  ذو الحجة - 1447" dataDxfId="157"/>
    <tableColumn id="25" name="الأسبوع الثالث /  ذو الحجة - 1447" dataDxfId="156">
      <calculatedColumnFormula>IFERROR(AVERAGE(AD3:CD3),"")</calculatedColumnFormula>
    </tableColumn>
    <tableColumn id="26" name="الأسبوع الرابع /  ذو الحجة - 1447" dataDxfId="155"/>
    <tableColumn id="27" name="الأسبوع الأول /  محرم - 1448" dataDxfId="154"/>
    <tableColumn id="28" name="الأسبوع الثاني /  محرم - 1448" dataDxfId="153"/>
    <tableColumn id="29" name="الأسبوع الثالث /  محرم - 1448" dataDxfId="152"/>
    <tableColumn id="30" name="الأسبوع الرابع /  محرم - 1448" dataDxfId="151"/>
    <tableColumn id="31" name="الأسبوع الأول /  صفر - 1448" dataDxfId="150"/>
    <tableColumn id="32" name="الأسبوع الثاني /  صفر - 1448" dataDxfId="149"/>
    <tableColumn id="33" name="الأسبوع الثالث /  صفر - 1448" dataDxfId="148"/>
    <tableColumn id="34" name="الأسبوع الرابع /  صفر - 1448" dataDxfId="147"/>
    <tableColumn id="35" name="الأسبوع الأول /  ربيع الأول - 1448" dataDxfId="146"/>
    <tableColumn id="36" name="الأسبوع الثاني /  ربيع الأول - 1448" dataDxfId="145"/>
    <tableColumn id="37" name="الأسبوع الثالث /  ربيع الأول - 1448" dataDxfId="144"/>
    <tableColumn id="38" name="الأسبوع الرابع /  ربيع الأول - 1448" dataDxfId="143"/>
    <tableColumn id="39" name="الأسبوع الخامس /  ربيع الأول - 1448" dataDxfId="142"/>
    <tableColumn id="40" name="الأسبوع الأول /  ربيع الثاني - 1448" dataDxfId="141"/>
    <tableColumn id="41" name="الأسبوع الثاني /  ربيع الثاني - 1448" dataDxfId="140"/>
    <tableColumn id="42" name="الأسبوع الثالث /  ربيع الثاني - 1448" dataDxfId="139"/>
    <tableColumn id="43" name="الأسبوع الرابع /  ربيع الثاني - 1448" dataDxfId="138"/>
    <tableColumn id="44" name="الأسبوع الأول /  جمادى الأولى - 1448" dataDxfId="137"/>
    <tableColumn id="45" name="الأسبوع الثاني /  جمادى الأولى - 1448" dataDxfId="136"/>
    <tableColumn id="46" name="الأسبوع الثالث /  جمادى الأولى - 1448" dataDxfId="135"/>
    <tableColumn id="47" name="الأسبوع الرابع /  جمادى الأولى - 1448" dataDxfId="134"/>
    <tableColumn id="48" name="الأسبوع الأول /  جمادى الثانية - 1448" dataDxfId="133"/>
    <tableColumn id="49" name="الأسبوع الثاني /  جمادى الثانية - 1448" dataDxfId="132"/>
    <tableColumn id="50" name="الأسبوع الثالث /  جمادى الثانية - 1448" dataDxfId="131"/>
    <tableColumn id="51" name="الأسبوع الرابع /  جمادى الثانية - 1448" dataDxfId="130"/>
    <tableColumn id="52" name="الأسبوع الأول /  رجب - 1448" dataDxfId="129"/>
    <tableColumn id="53" name="الأسبوع الثاني /  رجب - 1448" dataDxfId="128"/>
    <tableColumn id="54" name="الأسبوع الثالث /  رجب - 1448" dataDxfId="127"/>
    <tableColumn id="55" name="الأسبوع الرابع /  رجب - 1448" dataDxfId="126"/>
    <tableColumn id="56" name="الأسبوع الخامس /  رجب - 1448" dataDxfId="125"/>
    <tableColumn id="57" name="الأسبوع الأول /  شعبان - 1448" dataDxfId="124"/>
  </tableColumns>
  <tableStyleInfo name="TableStyleMedium5" showFirstColumn="0" showLastColumn="0" showRowStripes="1" showColumnStripes="0"/>
</table>
</file>

<file path=xl/tables/table2.xml><?xml version="1.0" encoding="utf-8"?>
<table xmlns="http://schemas.openxmlformats.org/spreadsheetml/2006/main" id="2" name="Table2" displayName="Table2" ref="B2:E1329" headerRowCount="1" totalsRowShown="0" headerRowDxfId="123" dataDxfId="121" headerRowBorderDxfId="122" tableBorderDxfId="120" totalsRowBorderDxfId="119">
  <tableColumns count="4">
    <tableColumn id="1" name="الأسبوع" dataDxfId="118"/>
    <tableColumn id="2" name="التكليف" dataDxfId="117"/>
    <tableColumn id="3" name="مسئول التنفيذ" dataDxfId="116"/>
    <tableColumn id="4" name="حالة التنفيذ" dataDxfId="115"/>
  </tableColumns>
  <tableStyleInfo name="TableStyleMedium5" showFirstColumn="0" showLastColumn="0" showRowStripes="1" showColumnStripes="0"/>
</table>
</file>

<file path=xl/tables/table3.xml><?xml version="1.0" encoding="utf-8"?>
<table xmlns="http://schemas.openxmlformats.org/spreadsheetml/2006/main" id="3" name="Table3" displayName="Table3" ref="G2:J9" headerRowCount="1" totalsRowShown="0" headerRowDxfId="114" dataDxfId="112" headerRowBorderDxfId="113" tableBorderDxfId="111" totalsRowBorderDxfId="110">
  <tableColumns count="4">
    <tableColumn id="1" name="المسؤول" dataDxfId="109">
      <calculatedColumnFormula>'محضــــــــــــر الجلســــــــة'!C4</calculatedColumnFormula>
    </tableColumn>
    <tableColumn id="2" name="عدد التكليفات" dataDxfId="108">
      <calculatedColumnFormula>IFERROR(COUNTIF(Table2[مسئول التنفيذ],G3),"")</calculatedColumnFormula>
    </tableColumn>
    <tableColumn id="3" name="% التكليفات" dataDxfId="107">
      <calculatedColumnFormula>IFERROR(COUNTIFS(D:D,G3,E:E,"=تم")/(COUNTIFS(D:D,G3,E:E,"=تم")+COUNTIFS(D:D,G3,E:E,"=تجديد")+COUNTIFS(D:D,G3,E:E,"=إلغاء")),"")</calculatedColumnFormula>
    </tableColumn>
    <tableColumn id="4" name="التكليفات" dataDxfId="106" dataCellStyle="Percent">
      <calculatedColumnFormula>IFERROR(COUNTIFS(D:D,Table3[[#This Row],[المسؤول]],E:E,"=تم")/(COUNTA(D3:D999982)),"")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table" Target="/xl/tables/table3.xml" Id="rId2"/></Relationships>
</file>

<file path=xl/worksheets/sheet1.xml><?xml version="1.0" encoding="utf-8"?>
<worksheet xmlns="http://schemas.openxmlformats.org/spreadsheetml/2006/main">
  <sheetPr>
    <tabColor rgb="FFFF0000"/>
    <outlinePr summaryBelow="1" summaryRight="1"/>
    <pageSetUpPr/>
  </sheetPr>
  <dimension ref="A1:BG38"/>
  <sheetViews>
    <sheetView showGridLines="0" rightToLeft="1" zoomScaleNormal="100" workbookViewId="0">
      <pane xSplit="6" ySplit="2" topLeftCell="Y28" activePane="bottomRight" state="frozen"/>
      <selection activeCell="V26" sqref="V26"/>
      <selection pane="topRight" activeCell="V26" sqref="V26"/>
      <selection pane="bottomLeft" activeCell="V26" sqref="V26"/>
      <selection pane="bottomRight" activeCell="AB29" sqref="AB29"/>
    </sheetView>
  </sheetViews>
  <sheetFormatPr baseColWidth="8" defaultColWidth="8.7109375" defaultRowHeight="22.5" outlineLevelCol="0"/>
  <cols>
    <col width="1.42578125" customWidth="1" style="44" min="1" max="1"/>
    <col width="8.28515625" customWidth="1" style="44" min="2" max="2"/>
    <col width="15.28515625" bestFit="1" customWidth="1" style="44" min="3" max="3"/>
    <col width="11.85546875" bestFit="1" customWidth="1" style="44" min="4" max="4"/>
    <col width="7.28515625" bestFit="1" customWidth="1" style="52" min="5" max="5"/>
    <col width="9.7109375" bestFit="1" customWidth="1" style="44" min="6" max="6"/>
    <col width="26.85546875" bestFit="1" customWidth="1" style="44" min="7" max="7"/>
    <col width="28.28515625" bestFit="1" customWidth="1" style="44" min="8" max="8"/>
    <col width="28.5703125" bestFit="1" customWidth="1" style="44" min="9" max="9"/>
    <col width="29.5703125" bestFit="1" customWidth="1" style="44" min="10" max="10"/>
    <col width="28.7109375" bestFit="1" customWidth="1" style="44" min="11" max="11"/>
    <col width="28.28515625" bestFit="1" customWidth="1" style="44" min="12" max="12"/>
    <col width="28.42578125" bestFit="1" customWidth="1" style="44" min="13" max="13"/>
    <col width="29.28515625" bestFit="1" customWidth="1" style="44" min="14" max="14"/>
    <col width="28.7109375" bestFit="1" customWidth="1" style="44" min="15" max="15"/>
    <col width="27.28515625" bestFit="1" customWidth="1" style="44" min="16" max="16"/>
    <col width="27.5703125" bestFit="1" customWidth="1" style="44" min="17" max="17"/>
    <col width="28.42578125" customWidth="1" style="44" min="18" max="18"/>
    <col width="47.140625" customWidth="1" style="44" min="19" max="19"/>
    <col width="40.42578125" customWidth="1" style="44" min="20" max="20"/>
    <col width="61.42578125" customWidth="1" style="44" min="21" max="21"/>
    <col width="30.85546875" bestFit="1" customWidth="1" style="44" min="22" max="22"/>
    <col width="31.7109375" bestFit="1" customWidth="1" style="44" min="23" max="23"/>
    <col width="32.140625" bestFit="1" customWidth="1" style="44" min="24" max="24"/>
    <col width="51" bestFit="1" customWidth="1" style="44" min="25" max="25"/>
    <col width="30.42578125" bestFit="1" customWidth="1" style="44" min="26" max="26"/>
    <col width="31.28515625" bestFit="1" customWidth="1" style="44" min="27" max="27"/>
    <col width="71.5703125" bestFit="1" customWidth="1" style="44" min="28" max="28"/>
    <col width="26.85546875" bestFit="1" customWidth="1" style="44" min="29" max="29"/>
    <col width="27.140625" bestFit="1" customWidth="1" style="44" min="30" max="30"/>
    <col width="28" bestFit="1" customWidth="1" style="44" min="31" max="31"/>
    <col width="27.28515625" bestFit="1" customWidth="1" style="44" min="32" max="32"/>
    <col width="26.140625" bestFit="1" customWidth="1" style="44" min="33" max="33"/>
    <col width="26.28515625" bestFit="1" customWidth="1" style="44" min="34" max="34"/>
    <col width="27.28515625" bestFit="1" customWidth="1" style="44" min="35" max="35"/>
    <col width="26.5703125" bestFit="1" customWidth="1" style="44" min="36" max="36"/>
    <col width="30.85546875" bestFit="1" customWidth="1" style="44" min="37" max="37"/>
    <col width="31.140625" bestFit="1" customWidth="1" style="44" min="38" max="38"/>
    <col width="32" bestFit="1" customWidth="1" style="44" min="39" max="39"/>
    <col width="31.28515625" bestFit="1" customWidth="1" style="44" min="40" max="40"/>
    <col width="33.7109375" bestFit="1" customWidth="1" style="44" min="41" max="41"/>
    <col width="31.140625" bestFit="1" customWidth="1" style="44" min="42" max="42"/>
    <col width="31.28515625" bestFit="1" customWidth="1" style="44" min="43" max="43"/>
    <col width="32.28515625" bestFit="1" customWidth="1" style="44" min="44" max="44"/>
    <col width="31.5703125" bestFit="1" customWidth="1" style="44" min="45" max="45"/>
    <col width="33.42578125" bestFit="1" customWidth="1" style="44" min="46" max="46"/>
    <col width="33.7109375" bestFit="1" customWidth="1" style="44" min="47" max="47"/>
    <col width="34.7109375" bestFit="1" customWidth="1" style="44" min="48" max="48"/>
    <col width="34" bestFit="1" customWidth="1" style="44" min="49" max="49"/>
    <col width="34.140625" bestFit="1" customWidth="1" style="44" min="50" max="50"/>
    <col width="34.28515625" bestFit="1" customWidth="1" style="44" min="51" max="51"/>
    <col width="35.28515625" bestFit="1" customWidth="1" style="44" min="52" max="52"/>
    <col width="34.5703125" bestFit="1" customWidth="1" style="44" min="53" max="53"/>
    <col width="26.42578125" bestFit="1" customWidth="1" style="44" min="54" max="54"/>
    <col width="26.5703125" bestFit="1" customWidth="1" style="44" min="55" max="55"/>
    <col width="27.5703125" bestFit="1" customWidth="1" style="44" min="56" max="56"/>
    <col width="26.85546875" bestFit="1" customWidth="1" style="44" min="57" max="57"/>
    <col width="29.28515625" bestFit="1" customWidth="1" style="44" min="58" max="58"/>
    <col width="28.28515625" bestFit="1" customWidth="1" style="44" min="59" max="59"/>
    <col width="26.85546875" bestFit="1" customWidth="1" style="44" min="60" max="60"/>
    <col width="28.140625" bestFit="1" customWidth="1" style="44" min="61" max="61"/>
    <col width="28.7109375" bestFit="1" customWidth="1" style="44" min="62" max="62"/>
    <col width="8.7109375" customWidth="1" style="44" min="63" max="16384"/>
  </cols>
  <sheetData>
    <row r="1"/>
    <row r="2">
      <c r="B2" s="84" t="inlineStr">
        <is>
          <t>جلسة الملف العلمي</t>
        </is>
      </c>
      <c r="C2" s="97" t="n"/>
      <c r="D2" s="2" t="inlineStr">
        <is>
          <t>وقت الحضور</t>
        </is>
      </c>
      <c r="E2" s="36" t="inlineStr">
        <is>
          <t>النسب</t>
        </is>
      </c>
      <c r="F2" s="42" t="inlineStr">
        <is>
          <t>التكليفات</t>
        </is>
      </c>
      <c r="G2" s="43" t="inlineStr">
        <is>
          <t>الأسبوع الرابع /  رجب - 1447</t>
        </is>
      </c>
      <c r="H2" s="43" t="inlineStr">
        <is>
          <t>الأسبوع الأول /  شعبان - 1447</t>
        </is>
      </c>
      <c r="I2" s="43" t="inlineStr">
        <is>
          <t>الأسبوع الثاني /  شعبان - 1447</t>
        </is>
      </c>
      <c r="J2" s="43" t="inlineStr">
        <is>
          <t>الأسبوع الثالث /  شعبان - 1447</t>
        </is>
      </c>
      <c r="K2" s="43" t="inlineStr">
        <is>
          <t>الأسبوع الرابع /  شعبان - 1447</t>
        </is>
      </c>
      <c r="L2" s="43" t="inlineStr">
        <is>
          <t>الأسبوع الأول /  رمضان - 1447</t>
        </is>
      </c>
      <c r="M2" s="43" t="inlineStr">
        <is>
          <t>الأسبوع الثاني /  رمضان - 1447</t>
        </is>
      </c>
      <c r="N2" s="43" t="inlineStr">
        <is>
          <t>الأسبوع الثالث /  رمضان - 1447</t>
        </is>
      </c>
      <c r="O2" s="43" t="inlineStr">
        <is>
          <t>الأسبوع الرابع /  رمضان - 1447</t>
        </is>
      </c>
      <c r="P2" s="43" t="inlineStr">
        <is>
          <t>الأسبوع الأول /  شوال - 1447</t>
        </is>
      </c>
      <c r="Q2" s="43" t="inlineStr">
        <is>
          <t>الأسبوع الثاني /  شوال - 1447</t>
        </is>
      </c>
      <c r="R2" s="43" t="inlineStr">
        <is>
          <t>الأسبوع الثالث /  شوال - 1447</t>
        </is>
      </c>
      <c r="S2" s="43" t="inlineStr">
        <is>
          <t>الأسبوع الرابع /  شوال - 1447</t>
        </is>
      </c>
      <c r="T2" s="43" t="inlineStr">
        <is>
          <t>الأسبوع الخامس /  شوال - 1447</t>
        </is>
      </c>
      <c r="U2" s="43" t="inlineStr">
        <is>
          <t>الأسبوع الأول /  ذو القعدة - 1447</t>
        </is>
      </c>
      <c r="V2" s="43" t="inlineStr">
        <is>
          <t>الأسبوع الثاني /  ذو القعدة - 1447</t>
        </is>
      </c>
      <c r="W2" s="43" t="inlineStr">
        <is>
          <t>الأسبوع الثالث /  ذو القعدة - 1447</t>
        </is>
      </c>
      <c r="X2" s="43" t="inlineStr">
        <is>
          <t>الأسبوع الرابع /  ذو القعدة - 1447</t>
        </is>
      </c>
      <c r="Y2" s="43" t="inlineStr">
        <is>
          <t>الأسبوع الأول /  ذو الحجة - 1447</t>
        </is>
      </c>
      <c r="Z2" s="43" t="inlineStr">
        <is>
          <t>الأسبوع الثاني /  ذو الحجة - 1447</t>
        </is>
      </c>
      <c r="AA2" s="43" t="inlineStr">
        <is>
          <t>الأسبوع الثالث /  ذو الحجة - 1447</t>
        </is>
      </c>
      <c r="AB2" s="43" t="inlineStr">
        <is>
          <t>الأسبوع الرابع /  ذو الحجة - 1447</t>
        </is>
      </c>
      <c r="AC2" s="43" t="inlineStr">
        <is>
          <t>الأسبوع الأول /  محرم - 1448</t>
        </is>
      </c>
      <c r="AD2" s="43" t="inlineStr">
        <is>
          <t>الأسبوع الثاني /  محرم - 1448</t>
        </is>
      </c>
      <c r="AE2" s="43" t="inlineStr">
        <is>
          <t>الأسبوع الثالث /  محرم - 1448</t>
        </is>
      </c>
      <c r="AF2" s="43" t="inlineStr">
        <is>
          <t>الأسبوع الرابع /  محرم - 1448</t>
        </is>
      </c>
      <c r="AG2" s="43" t="inlineStr">
        <is>
          <t>الأسبوع الأول /  صفر - 1448</t>
        </is>
      </c>
      <c r="AH2" s="43" t="inlineStr">
        <is>
          <t>الأسبوع الثاني /  صفر - 1448</t>
        </is>
      </c>
      <c r="AI2" s="43" t="inlineStr">
        <is>
          <t>الأسبوع الثالث /  صفر - 1448</t>
        </is>
      </c>
      <c r="AJ2" s="43" t="inlineStr">
        <is>
          <t>الأسبوع الرابع /  صفر - 1448</t>
        </is>
      </c>
      <c r="AK2" s="43" t="inlineStr">
        <is>
          <t>الأسبوع الأول /  ربيع الأول - 1448</t>
        </is>
      </c>
      <c r="AL2" s="43" t="inlineStr">
        <is>
          <t>الأسبوع الثاني /  ربيع الأول - 1448</t>
        </is>
      </c>
      <c r="AM2" s="43" t="inlineStr">
        <is>
          <t>الأسبوع الثالث /  ربيع الأول - 1448</t>
        </is>
      </c>
      <c r="AN2" s="43" t="inlineStr">
        <is>
          <t>الأسبوع الرابع /  ربيع الأول - 1448</t>
        </is>
      </c>
      <c r="AO2" s="43" t="inlineStr">
        <is>
          <t>الأسبوع الخامس /  ربيع الأول - 1448</t>
        </is>
      </c>
      <c r="AP2" s="43" t="inlineStr">
        <is>
          <t>الأسبوع الأول /  ربيع الثاني - 1448</t>
        </is>
      </c>
      <c r="AQ2" s="43" t="inlineStr">
        <is>
          <t>الأسبوع الثاني /  ربيع الثاني - 1448</t>
        </is>
      </c>
      <c r="AR2" s="43" t="inlineStr">
        <is>
          <t>الأسبوع الثالث /  ربيع الثاني - 1448</t>
        </is>
      </c>
      <c r="AS2" s="43" t="inlineStr">
        <is>
          <t>الأسبوع الرابع /  ربيع الثاني - 1448</t>
        </is>
      </c>
      <c r="AT2" s="43" t="inlineStr">
        <is>
          <t>الأسبوع الأول /  جمادى الأولى - 1448</t>
        </is>
      </c>
      <c r="AU2" s="43" t="inlineStr">
        <is>
          <t>الأسبوع الثاني /  جمادى الأولى - 1448</t>
        </is>
      </c>
      <c r="AV2" s="43" t="inlineStr">
        <is>
          <t>الأسبوع الثالث /  جمادى الأولى - 1448</t>
        </is>
      </c>
      <c r="AW2" s="43" t="inlineStr">
        <is>
          <t>الأسبوع الرابع /  جمادى الأولى - 1448</t>
        </is>
      </c>
      <c r="AX2" s="43" t="inlineStr">
        <is>
          <t>الأسبوع الأول /  جمادى الثانية - 1448</t>
        </is>
      </c>
      <c r="AY2" s="43" t="inlineStr">
        <is>
          <t>الأسبوع الثاني /  جمادى الثانية - 1448</t>
        </is>
      </c>
      <c r="AZ2" s="43" t="inlineStr">
        <is>
          <t>الأسبوع الثالث /  جمادى الثانية - 1448</t>
        </is>
      </c>
      <c r="BA2" s="43" t="inlineStr">
        <is>
          <t>الأسبوع الرابع /  جمادى الثانية - 1448</t>
        </is>
      </c>
      <c r="BB2" s="43" t="inlineStr">
        <is>
          <t>الأسبوع الأول /  رجب - 1448</t>
        </is>
      </c>
      <c r="BC2" s="43" t="inlineStr">
        <is>
          <t>الأسبوع الثاني /  رجب - 1448</t>
        </is>
      </c>
      <c r="BD2" s="43" t="inlineStr">
        <is>
          <t>الأسبوع الثالث /  رجب - 1448</t>
        </is>
      </c>
      <c r="BE2" s="43" t="inlineStr">
        <is>
          <t>الأسبوع الرابع /  رجب - 1448</t>
        </is>
      </c>
      <c r="BF2" s="43" t="inlineStr">
        <is>
          <t>الأسبوع الخامس /  رجب - 1448</t>
        </is>
      </c>
      <c r="BG2" s="43" t="inlineStr">
        <is>
          <t>الأسبوع الأول /  شعبان - 1448</t>
        </is>
      </c>
    </row>
    <row r="3" customFormat="1" s="46">
      <c r="B3" s="84" t="inlineStr">
        <is>
          <t>إتمام الجلسة &gt;&gt;</t>
        </is>
      </c>
      <c r="C3" s="98" t="n"/>
      <c r="D3" s="97" t="n"/>
      <c r="E3" s="37">
        <f>IFERROR(COUNTIF(G3:BG3,"تمت")/COUNTA(G3:BG3)," ")</f>
        <v/>
      </c>
      <c r="F3" s="45" t="n"/>
      <c r="G3" s="1" t="inlineStr">
        <is>
          <t>تمت</t>
        </is>
      </c>
      <c r="H3" s="1" t="inlineStr">
        <is>
          <t>تمت</t>
        </is>
      </c>
      <c r="I3" s="1" t="inlineStr">
        <is>
          <t>تمت</t>
        </is>
      </c>
      <c r="J3" s="1" t="inlineStr">
        <is>
          <t>تمت</t>
        </is>
      </c>
      <c r="K3" s="1" t="inlineStr">
        <is>
          <t>تمت</t>
        </is>
      </c>
      <c r="L3" s="1" t="n"/>
      <c r="M3" s="1" t="n"/>
      <c r="N3" s="1" t="n"/>
      <c r="O3" s="1" t="n"/>
      <c r="P3" s="1" t="n"/>
      <c r="Q3" s="1" t="n">
        <v>0.875</v>
      </c>
      <c r="R3" s="1" t="n"/>
      <c r="S3" s="1" t="inlineStr">
        <is>
          <t>تمت</t>
        </is>
      </c>
      <c r="T3" s="1" t="inlineStr">
        <is>
          <t>تمت</t>
        </is>
      </c>
      <c r="U3" s="1" t="inlineStr">
        <is>
          <t>تمت</t>
        </is>
      </c>
      <c r="V3" s="1" t="inlineStr">
        <is>
          <t>تمت</t>
        </is>
      </c>
      <c r="W3" s="1" t="inlineStr">
        <is>
          <t>تمت</t>
        </is>
      </c>
      <c r="X3" s="1" t="inlineStr">
        <is>
          <t>تمت</t>
        </is>
      </c>
      <c r="Y3" s="1" t="inlineStr">
        <is>
          <t>تمت</t>
        </is>
      </c>
      <c r="Z3" s="1" t="n"/>
      <c r="AA3" s="1" t="inlineStr">
        <is>
          <t>تمت</t>
        </is>
      </c>
      <c r="AB3" s="1" t="inlineStr">
        <is>
          <t>تمت</t>
        </is>
      </c>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row>
    <row r="4" customFormat="1" s="46">
      <c r="B4" s="2" t="inlineStr">
        <is>
          <t>مسئول</t>
        </is>
      </c>
      <c r="C4" s="2" t="inlineStr">
        <is>
          <t>محمد إيهاب</t>
        </is>
      </c>
      <c r="D4" s="27">
        <f>IFERROR(AVERAGE(G4:BG4),"")</f>
        <v/>
      </c>
      <c r="E4" s="38">
        <f>IFERROR(1-COUNTIF(G4:BG4,"غاب")/COUNTA(G4:BG4)," ")</f>
        <v/>
      </c>
      <c r="F4" s="47">
        <f>تكلــــــيفــــــــــات!I3</f>
        <v/>
      </c>
      <c r="G4" s="1" t="inlineStr">
        <is>
          <t>غاب</t>
        </is>
      </c>
      <c r="H4" s="1" t="inlineStr">
        <is>
          <t>غاب</t>
        </is>
      </c>
      <c r="I4" s="1" t="n">
        <v>0.875</v>
      </c>
      <c r="J4" s="1" t="n">
        <v>0.875</v>
      </c>
      <c r="K4" s="1" t="n">
        <v>0.875</v>
      </c>
      <c r="L4" s="1" t="n"/>
      <c r="M4" s="1" t="n"/>
      <c r="N4" s="1" t="n"/>
      <c r="O4" s="1" t="n"/>
      <c r="P4" s="1" t="n"/>
      <c r="Q4" s="1" t="n">
        <v>0.875</v>
      </c>
      <c r="R4" s="1" t="n"/>
      <c r="S4" s="1" t="n">
        <v>0.875</v>
      </c>
      <c r="T4" s="1" t="n">
        <v>0.875</v>
      </c>
      <c r="U4" s="1" t="n">
        <v>0.875</v>
      </c>
      <c r="V4" s="1" t="n">
        <v>0.875</v>
      </c>
      <c r="W4" s="1" t="n">
        <v>0.875</v>
      </c>
      <c r="X4" s="1" t="n">
        <v>0.875</v>
      </c>
      <c r="Y4" s="1" t="n">
        <v>0.875</v>
      </c>
      <c r="Z4" s="1" t="n"/>
      <c r="AA4" s="1" t="n">
        <v>0.875</v>
      </c>
      <c r="AB4" s="1" t="n">
        <v>0.875</v>
      </c>
      <c r="AC4" s="1" t="n"/>
      <c r="AD4" s="1" t="n"/>
      <c r="AE4" s="1" t="n"/>
      <c r="AF4" s="1" t="n"/>
      <c r="AG4" s="1" t="n"/>
      <c r="AH4" s="1" t="n"/>
      <c r="AI4" s="1" t="n"/>
      <c r="AJ4" s="1" t="n"/>
      <c r="AK4" s="1" t="n"/>
      <c r="AL4" s="1" t="n"/>
      <c r="AM4" s="1" t="n"/>
      <c r="AN4" s="1" t="n"/>
      <c r="AO4" s="1" t="n"/>
      <c r="AP4" s="1" t="n"/>
      <c r="AQ4" s="1" t="n"/>
      <c r="AR4" s="1" t="n"/>
      <c r="AS4" s="1" t="n"/>
      <c r="AT4" s="1" t="n"/>
      <c r="AU4" s="1" t="n"/>
      <c r="AV4" s="1" t="n"/>
      <c r="AW4" s="1" t="n"/>
      <c r="AX4" s="1" t="n"/>
      <c r="AY4" s="1" t="n"/>
      <c r="AZ4" s="1" t="n"/>
      <c r="BA4" s="1" t="n"/>
      <c r="BB4" s="1" t="n"/>
      <c r="BC4" s="1" t="n"/>
      <c r="BD4" s="1" t="n"/>
      <c r="BE4" s="1" t="n"/>
      <c r="BF4" s="1" t="n"/>
      <c r="BG4" s="1" t="n"/>
    </row>
    <row r="5" customFormat="1" s="46">
      <c r="B5" s="2" t="inlineStr">
        <is>
          <t>نائب</t>
        </is>
      </c>
      <c r="C5" s="2" t="inlineStr">
        <is>
          <t>أحمد حمادة</t>
        </is>
      </c>
      <c r="D5" s="27">
        <f>IFERROR(AVERAGE(G5:BG5),"")</f>
        <v/>
      </c>
      <c r="E5" s="38">
        <f>IFERROR(1-COUNTIF(G5:BG5,"غاب")/COUNTA(G5:BG5)," ")</f>
        <v/>
      </c>
      <c r="F5" s="47">
        <f>تكلــــــيفــــــــــات!I4</f>
        <v/>
      </c>
      <c r="G5" s="1" t="inlineStr">
        <is>
          <t>غاب</t>
        </is>
      </c>
      <c r="H5" s="1" t="inlineStr">
        <is>
          <t>غاب</t>
        </is>
      </c>
      <c r="I5" s="1" t="inlineStr">
        <is>
          <t>غاب</t>
        </is>
      </c>
      <c r="J5" s="1" t="inlineStr">
        <is>
          <t>غاب</t>
        </is>
      </c>
      <c r="K5" s="1" t="inlineStr">
        <is>
          <t>غاب</t>
        </is>
      </c>
      <c r="L5" s="1" t="n"/>
      <c r="M5" s="1" t="n"/>
      <c r="N5" s="1" t="n"/>
      <c r="O5" s="1" t="n"/>
      <c r="P5" s="1" t="n"/>
      <c r="Q5" s="1" t="n">
        <v>0.875</v>
      </c>
      <c r="R5" s="1" t="n"/>
      <c r="S5" s="1" t="n">
        <v>0.875</v>
      </c>
      <c r="T5" s="1" t="n">
        <v>0.875</v>
      </c>
      <c r="U5" s="1" t="n">
        <v>0.875</v>
      </c>
      <c r="V5" s="1" t="inlineStr">
        <is>
          <t>غاب</t>
        </is>
      </c>
      <c r="W5" s="1" t="n">
        <v>0.875</v>
      </c>
      <c r="X5" s="1" t="n">
        <v>0.875</v>
      </c>
      <c r="Y5" s="1" t="n">
        <v>0.875</v>
      </c>
      <c r="Z5" s="1" t="n"/>
      <c r="AA5" s="1" t="inlineStr">
        <is>
          <t>غاب</t>
        </is>
      </c>
      <c r="AB5" s="1" t="n">
        <v>0.8958333333333334</v>
      </c>
      <c r="AC5" s="1" t="n"/>
      <c r="AD5" s="1" t="n"/>
      <c r="AE5" s="1" t="n"/>
      <c r="AF5" s="1" t="n"/>
      <c r="AG5" s="1" t="n"/>
      <c r="AH5" s="1" t="n"/>
      <c r="AI5" s="1" t="n"/>
      <c r="AJ5" s="1" t="n"/>
      <c r="AK5" s="1" t="n"/>
      <c r="AL5" s="1" t="n"/>
      <c r="AM5" s="1" t="n"/>
      <c r="AN5" s="1" t="n"/>
      <c r="AO5" s="1" t="n"/>
      <c r="AP5" s="1" t="n"/>
      <c r="AQ5" s="1" t="n"/>
      <c r="AR5" s="1" t="n"/>
      <c r="AS5" s="1" t="n"/>
      <c r="AT5" s="1" t="n"/>
      <c r="AU5" s="1" t="n"/>
      <c r="AV5" s="1" t="n"/>
      <c r="AW5" s="1" t="n"/>
      <c r="AX5" s="1" t="n"/>
      <c r="AY5" s="1" t="n"/>
      <c r="AZ5" s="1" t="n"/>
      <c r="BA5" s="1" t="n"/>
      <c r="BB5" s="1" t="n"/>
      <c r="BC5" s="1" t="n"/>
      <c r="BD5" s="1" t="n"/>
      <c r="BE5" s="1" t="n"/>
      <c r="BF5" s="1" t="n"/>
      <c r="BG5" s="1" t="n"/>
    </row>
    <row r="6" customFormat="1" s="46">
      <c r="B6" s="2" t="inlineStr">
        <is>
          <t>سكرتير</t>
        </is>
      </c>
      <c r="C6" s="2" t="inlineStr">
        <is>
          <t>آدم</t>
        </is>
      </c>
      <c r="D6" s="27">
        <f>IFERROR(AVERAGE(G6:BG6),"")</f>
        <v/>
      </c>
      <c r="E6" s="38">
        <f>IFERROR(1-COUNTIF(G6:BG6,"غاب")/COUNTA(G6:BG6)," ")</f>
        <v/>
      </c>
      <c r="F6" s="47">
        <f>تكلــــــيفــــــــــات!I5</f>
        <v/>
      </c>
      <c r="G6" s="1" t="inlineStr">
        <is>
          <t>غاب</t>
        </is>
      </c>
      <c r="H6" s="1" t="n">
        <v>0.875</v>
      </c>
      <c r="I6" s="1" t="inlineStr">
        <is>
          <t>حضر</t>
        </is>
      </c>
      <c r="J6" s="1" t="inlineStr">
        <is>
          <t>غاب</t>
        </is>
      </c>
      <c r="K6" s="1" t="inlineStr">
        <is>
          <t>غاب</t>
        </is>
      </c>
      <c r="L6" s="1" t="n"/>
      <c r="M6" s="1" t="n"/>
      <c r="N6" s="1" t="n"/>
      <c r="O6" s="1" t="n"/>
      <c r="P6" s="1" t="n"/>
      <c r="Q6" s="1" t="n">
        <v>0.875</v>
      </c>
      <c r="R6" s="1" t="n"/>
      <c r="S6" s="1" t="n">
        <v>0.875</v>
      </c>
      <c r="T6" s="1" t="inlineStr">
        <is>
          <t>غاب</t>
        </is>
      </c>
      <c r="U6" s="1" t="n">
        <v>0.875</v>
      </c>
      <c r="V6" s="1" t="inlineStr">
        <is>
          <t>غاب</t>
        </is>
      </c>
      <c r="W6" s="1" t="inlineStr">
        <is>
          <t>غاب</t>
        </is>
      </c>
      <c r="X6" s="1" t="inlineStr">
        <is>
          <t xml:space="preserve">غاب </t>
        </is>
      </c>
      <c r="Y6" s="1" t="n">
        <v>0.9166666666666666</v>
      </c>
      <c r="Z6" s="1" t="n"/>
      <c r="AA6" s="1" t="n">
        <v>0.8958333333333334</v>
      </c>
      <c r="AB6" s="1" t="inlineStr">
        <is>
          <t>غاب</t>
        </is>
      </c>
      <c r="AC6" s="1" t="n"/>
      <c r="AD6" s="1" t="n"/>
      <c r="AE6" s="1" t="n"/>
      <c r="AF6" s="1" t="n"/>
      <c r="AG6" s="1" t="n"/>
      <c r="AH6" s="1" t="n"/>
      <c r="AI6" s="1" t="n"/>
      <c r="AJ6" s="1" t="n"/>
      <c r="AK6" s="1" t="n"/>
      <c r="AL6" s="1" t="n"/>
      <c r="AM6" s="1" t="n"/>
      <c r="AN6" s="1" t="n"/>
      <c r="AO6" s="1" t="n"/>
      <c r="AP6" s="1" t="n"/>
      <c r="AQ6" s="1" t="n"/>
      <c r="AR6" s="1" t="n"/>
      <c r="AS6" s="1" t="n"/>
      <c r="AT6" s="1" t="n"/>
      <c r="AU6" s="1" t="n"/>
      <c r="AV6" s="1" t="n"/>
      <c r="AW6" s="1" t="n"/>
      <c r="AX6" s="1" t="n"/>
      <c r="AY6" s="1" t="n"/>
      <c r="AZ6" s="1" t="n"/>
      <c r="BA6" s="1" t="n"/>
      <c r="BB6" s="1" t="n"/>
      <c r="BC6" s="1" t="n"/>
      <c r="BD6" s="1" t="n"/>
      <c r="BE6" s="1" t="n"/>
      <c r="BF6" s="1" t="n"/>
      <c r="BG6" s="1" t="n"/>
    </row>
    <row r="7" customFormat="1" s="46">
      <c r="B7" s="2" t="inlineStr">
        <is>
          <t>عضو</t>
        </is>
      </c>
      <c r="C7" s="2" t="inlineStr">
        <is>
          <t>سعيد ربيع</t>
        </is>
      </c>
      <c r="D7" s="27">
        <f>IFERROR(AVERAGE(G7:BG7),"")</f>
        <v/>
      </c>
      <c r="E7" s="38">
        <f>IFERROR(1-COUNTIF(G7:BG7,"غاب")/COUNTA(G7:BG7)," ")</f>
        <v/>
      </c>
      <c r="F7" s="47">
        <f>تكلــــــيفــــــــــات!I6</f>
        <v/>
      </c>
      <c r="G7" s="1" t="inlineStr">
        <is>
          <t>غاب</t>
        </is>
      </c>
      <c r="H7" s="1" t="n">
        <v>0.875</v>
      </c>
      <c r="I7" s="1" t="inlineStr">
        <is>
          <t>غاب</t>
        </is>
      </c>
      <c r="J7" s="1" t="inlineStr">
        <is>
          <t>غاب</t>
        </is>
      </c>
      <c r="K7" s="1" t="inlineStr">
        <is>
          <t>غاب</t>
        </is>
      </c>
      <c r="L7" s="1" t="n"/>
      <c r="M7" s="1" t="n"/>
      <c r="N7" s="1" t="n"/>
      <c r="O7" s="1" t="n"/>
      <c r="P7" s="1" t="n"/>
      <c r="Q7" s="1" t="inlineStr">
        <is>
          <t>غاب</t>
        </is>
      </c>
      <c r="R7" s="1" t="n"/>
      <c r="S7" s="1" t="inlineStr">
        <is>
          <t>غاب</t>
        </is>
      </c>
      <c r="T7" s="1" t="inlineStr">
        <is>
          <t>غاب</t>
        </is>
      </c>
      <c r="U7" s="1" t="inlineStr">
        <is>
          <t>غاب</t>
        </is>
      </c>
      <c r="V7" s="1" t="inlineStr">
        <is>
          <t>غاب</t>
        </is>
      </c>
      <c r="W7" s="1" t="inlineStr">
        <is>
          <t>غاب</t>
        </is>
      </c>
      <c r="X7" s="1" t="n">
        <v>0.8958333333333334</v>
      </c>
      <c r="Y7" s="1" t="n">
        <v>0.9166666666666666</v>
      </c>
      <c r="Z7" s="1" t="n"/>
      <c r="AA7" s="1" t="n">
        <v>0.8958333333333334</v>
      </c>
      <c r="AB7" s="1" t="inlineStr">
        <is>
          <t>غاب</t>
        </is>
      </c>
      <c r="AC7" s="1" t="n"/>
      <c r="AD7" s="1" t="n"/>
      <c r="AE7" s="1" t="n"/>
      <c r="AF7" s="1" t="n"/>
      <c r="AG7" s="1" t="n"/>
      <c r="AH7" s="1" t="n"/>
      <c r="AI7" s="1" t="n"/>
      <c r="AJ7" s="1" t="n"/>
      <c r="AK7" s="1" t="n"/>
      <c r="AL7" s="1" t="n"/>
      <c r="AM7" s="1" t="n"/>
      <c r="AN7" s="1" t="n"/>
      <c r="AO7" s="1" t="n"/>
      <c r="AP7" s="1" t="n"/>
      <c r="AQ7" s="1" t="n"/>
      <c r="AR7" s="1" t="n"/>
      <c r="AS7" s="1" t="n"/>
      <c r="AT7" s="1" t="n"/>
      <c r="AU7" s="1" t="n"/>
      <c r="AV7" s="1" t="n"/>
      <c r="AW7" s="1" t="n"/>
      <c r="AX7" s="1" t="n"/>
      <c r="AY7" s="1" t="n"/>
      <c r="AZ7" s="1" t="n"/>
      <c r="BA7" s="1" t="n"/>
      <c r="BB7" s="1" t="n"/>
      <c r="BC7" s="1" t="n"/>
      <c r="BD7" s="1" t="n"/>
      <c r="BE7" s="1" t="n"/>
      <c r="BF7" s="1" t="n"/>
      <c r="BG7" s="1" t="n"/>
    </row>
    <row r="8" customFormat="1" s="46">
      <c r="B8" s="2" t="inlineStr">
        <is>
          <t>عضو</t>
        </is>
      </c>
      <c r="C8" s="2" t="inlineStr">
        <is>
          <t>أحمد طاهر</t>
        </is>
      </c>
      <c r="D8" s="27">
        <f>IFERROR(AVERAGE(G8:BG8),"")</f>
        <v/>
      </c>
      <c r="E8" s="38">
        <f>IFERROR(1-COUNTIF(G8:BG8,"غاب")/COUNTA(G8:BG8)," ")</f>
        <v/>
      </c>
      <c r="F8" s="47">
        <f>تكلــــــيفــــــــــات!I7</f>
        <v/>
      </c>
      <c r="G8" s="1" t="n">
        <v>0.875</v>
      </c>
      <c r="H8" s="1" t="n">
        <v>0.875</v>
      </c>
      <c r="I8" s="1" t="n">
        <v>0.875</v>
      </c>
      <c r="J8" s="1" t="n">
        <v>0.875</v>
      </c>
      <c r="K8" s="1" t="n">
        <v>0.875</v>
      </c>
      <c r="L8" s="1" t="n"/>
      <c r="M8" s="1" t="n"/>
      <c r="N8" s="1" t="n"/>
      <c r="O8" s="1" t="n"/>
      <c r="P8" s="1" t="n"/>
      <c r="Q8" s="1" t="n">
        <v>0.875</v>
      </c>
      <c r="R8" s="1" t="n"/>
      <c r="S8" s="1" t="n">
        <v>0.875</v>
      </c>
      <c r="T8" s="1" t="n">
        <v>0.875</v>
      </c>
      <c r="U8" s="1" t="n">
        <v>0.875</v>
      </c>
      <c r="V8" s="1" t="n">
        <v>0.875</v>
      </c>
      <c r="W8" s="1" t="n">
        <v>0.875</v>
      </c>
      <c r="X8" s="1" t="n">
        <v>0.875</v>
      </c>
      <c r="Y8" s="1" t="n">
        <v>0.875</v>
      </c>
      <c r="Z8" s="1" t="n"/>
      <c r="AA8" s="1" t="n">
        <v>0.875</v>
      </c>
      <c r="AB8" s="1" t="n">
        <v>0.8958333333333334</v>
      </c>
      <c r="AC8" s="1" t="n"/>
      <c r="AD8" s="1" t="n"/>
      <c r="AE8" s="1" t="n"/>
      <c r="AF8" s="1" t="n"/>
      <c r="AG8" s="1" t="n"/>
      <c r="AH8" s="1" t="n"/>
      <c r="AI8" s="1" t="n"/>
      <c r="AJ8" s="1" t="n"/>
      <c r="AK8" s="1" t="n"/>
      <c r="AL8" s="1" t="n"/>
      <c r="AM8" s="1" t="n"/>
      <c r="AN8" s="1" t="n"/>
      <c r="AO8" s="1" t="n"/>
      <c r="AP8" s="1" t="n"/>
      <c r="AQ8" s="1" t="n"/>
      <c r="AR8" s="1" t="n"/>
      <c r="AS8" s="1" t="n"/>
      <c r="AT8" s="1" t="n"/>
      <c r="AU8" s="1" t="n"/>
      <c r="AV8" s="1" t="n"/>
      <c r="AW8" s="1" t="n"/>
      <c r="AX8" s="1" t="n"/>
      <c r="AY8" s="1" t="n"/>
      <c r="AZ8" s="1" t="n"/>
      <c r="BA8" s="1" t="n"/>
      <c r="BB8" s="1" t="n"/>
      <c r="BC8" s="1" t="n"/>
      <c r="BD8" s="1" t="n"/>
      <c r="BE8" s="1" t="n"/>
      <c r="BF8" s="1" t="n"/>
      <c r="BG8" s="1" t="n"/>
    </row>
    <row r="9" customFormat="1" s="46">
      <c r="B9" s="2" t="inlineStr">
        <is>
          <t>عضو</t>
        </is>
      </c>
      <c r="C9" s="2" t="inlineStr">
        <is>
          <t>محمد محي</t>
        </is>
      </c>
      <c r="D9" s="27">
        <f>IFERROR(AVERAGE(G9:BG9),"")</f>
        <v/>
      </c>
      <c r="E9" s="38">
        <f>IFERROR(1-COUNTIF(G9:BG9,"غاب")/COUNTA(G9:BG9)," ")</f>
        <v/>
      </c>
      <c r="F9" s="47">
        <f>تكلــــــيفــــــــــات!I8</f>
        <v/>
      </c>
      <c r="G9" s="1" t="n"/>
      <c r="H9" s="1" t="n"/>
      <c r="I9" s="1" t="n"/>
      <c r="J9" s="1" t="n"/>
      <c r="K9" s="1" t="n"/>
      <c r="L9" s="1" t="n"/>
      <c r="M9" s="1" t="n"/>
      <c r="N9" s="1" t="n"/>
      <c r="O9" s="1" t="n"/>
      <c r="P9" s="1" t="n"/>
      <c r="Q9" s="1" t="n">
        <v>0.875</v>
      </c>
      <c r="R9" s="1" t="n"/>
      <c r="S9" s="1" t="n">
        <v>0.875</v>
      </c>
      <c r="T9" s="1" t="n">
        <v>0.875</v>
      </c>
      <c r="U9" s="1" t="n">
        <v>0.875</v>
      </c>
      <c r="V9" s="1" t="n">
        <v>0.875</v>
      </c>
      <c r="W9" s="1" t="n">
        <v>0.875</v>
      </c>
      <c r="X9" s="1" t="n">
        <v>0.875</v>
      </c>
      <c r="Y9" s="1" t="n">
        <v>0.875</v>
      </c>
      <c r="Z9" s="1" t="n"/>
      <c r="AA9" s="1" t="n">
        <v>0.875</v>
      </c>
      <c r="AB9" s="1" t="n">
        <v>0.90625</v>
      </c>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row>
    <row r="10" customFormat="1" s="46">
      <c r="B10" s="2" t="inlineStr">
        <is>
          <t>عضو</t>
        </is>
      </c>
      <c r="C10" s="2" t="inlineStr">
        <is>
          <t>يوسف محمد</t>
        </is>
      </c>
      <c r="D10" s="27">
        <f>IFERROR(AVERAGE(G10:BG10),"")</f>
        <v/>
      </c>
      <c r="E10" s="38">
        <f>IFERROR(1-COUNTIF(G10:BG10,"غاب")/COUNTA(G10:BG10)," ")</f>
        <v/>
      </c>
      <c r="F10" s="47">
        <f>تكلــــــيفــــــــــات!I9</f>
        <v/>
      </c>
      <c r="G10" s="1" t="inlineStr">
        <is>
          <t>غاب</t>
        </is>
      </c>
      <c r="H10" s="1" t="inlineStr">
        <is>
          <t>غاب</t>
        </is>
      </c>
      <c r="I10" s="1" t="n">
        <v>0.875</v>
      </c>
      <c r="J10" s="1" t="n">
        <v>0.875</v>
      </c>
      <c r="K10" s="1" t="n">
        <v>0.875</v>
      </c>
      <c r="L10" s="1" t="n"/>
      <c r="M10" s="1" t="n"/>
      <c r="N10" s="1" t="n"/>
      <c r="O10" s="1" t="n"/>
      <c r="P10" s="1" t="n"/>
      <c r="Q10" s="1" t="n">
        <v>0.875</v>
      </c>
      <c r="R10" s="1" t="n"/>
      <c r="S10" s="1" t="n">
        <v>0.875</v>
      </c>
      <c r="T10" s="1" t="n">
        <v>0.875</v>
      </c>
      <c r="U10" s="1" t="n">
        <v>0.875</v>
      </c>
      <c r="V10" s="1" t="inlineStr">
        <is>
          <t>غاب</t>
        </is>
      </c>
      <c r="W10" s="1" t="n">
        <v>0.875</v>
      </c>
      <c r="X10" s="1" t="inlineStr">
        <is>
          <t xml:space="preserve">غاب </t>
        </is>
      </c>
      <c r="Y10" s="1" t="inlineStr">
        <is>
          <t>غاب</t>
        </is>
      </c>
      <c r="Z10" s="1" t="n"/>
      <c r="AA10" s="1" t="inlineStr">
        <is>
          <t>غاب</t>
        </is>
      </c>
      <c r="AB10" s="1" t="inlineStr">
        <is>
          <t>غاب</t>
        </is>
      </c>
      <c r="AC10" s="1" t="n"/>
      <c r="AD10" s="1" t="n"/>
      <c r="AE10" s="1" t="n"/>
      <c r="AF10" s="1" t="n"/>
      <c r="AG10" s="1" t="n"/>
      <c r="AH10" s="1" t="n"/>
      <c r="AI10" s="1" t="n"/>
      <c r="AJ10" s="1" t="n"/>
      <c r="AK10" s="1" t="n"/>
      <c r="AL10" s="1" t="n"/>
      <c r="AM10" s="1" t="n"/>
      <c r="AN10" s="1" t="n"/>
      <c r="AO10" s="1" t="n"/>
      <c r="AP10" s="1" t="n"/>
      <c r="AQ10" s="1" t="n"/>
      <c r="AR10" s="1" t="n"/>
      <c r="AS10" s="1" t="n"/>
      <c r="AT10" s="1" t="n"/>
      <c r="AU10" s="1" t="n"/>
      <c r="AV10" s="1" t="n"/>
      <c r="AW10" s="1" t="n"/>
      <c r="AX10" s="1" t="n"/>
      <c r="AY10" s="1" t="n"/>
      <c r="AZ10" s="1" t="n"/>
      <c r="BA10" s="1" t="n"/>
      <c r="BB10" s="1" t="n"/>
      <c r="BC10" s="1" t="n"/>
      <c r="BD10" s="1" t="n"/>
      <c r="BE10" s="1" t="n"/>
      <c r="BF10" s="1" t="n"/>
      <c r="BG10" s="1" t="n"/>
    </row>
    <row r="11">
      <c r="B11" s="86" t="inlineStr">
        <is>
          <t>بنود الجلسة</t>
        </is>
      </c>
      <c r="C11" s="99" t="n"/>
      <c r="D11" s="100" t="n"/>
      <c r="E11" s="39" t="n"/>
      <c r="F11" s="48" t="n"/>
      <c r="G11" s="49" t="n"/>
      <c r="H11" s="49" t="n"/>
      <c r="I11" s="49" t="n"/>
      <c r="J11" s="49" t="n"/>
      <c r="K11" s="49" t="n"/>
      <c r="L11" s="49" t="n"/>
      <c r="M11" s="49" t="n"/>
      <c r="N11" s="49" t="n"/>
      <c r="O11" s="49" t="n"/>
      <c r="P11" s="49" t="n"/>
      <c r="Q11" s="49" t="n"/>
      <c r="R11" s="49" t="n"/>
      <c r="S11" s="49" t="n"/>
      <c r="T11" s="49" t="n"/>
      <c r="U11" s="49" t="n"/>
      <c r="V11" s="49" t="n"/>
      <c r="W11" s="49" t="n"/>
      <c r="X11" s="49" t="n"/>
      <c r="Y11" s="49" t="n"/>
      <c r="Z11" s="49" t="n"/>
      <c r="AA11" s="49">
        <f>IFERROR(AVERAGE(AD11:CD11),"")</f>
        <v/>
      </c>
      <c r="AB11" s="49" t="n"/>
      <c r="AC11" s="49" t="n"/>
      <c r="AD11" s="49" t="n"/>
      <c r="AE11" s="49" t="n"/>
      <c r="AF11" s="49" t="n"/>
      <c r="AG11" s="49" t="n"/>
      <c r="AH11" s="49" t="n"/>
      <c r="AI11" s="49" t="n"/>
      <c r="AJ11" s="49" t="n"/>
      <c r="AK11" s="49" t="n"/>
      <c r="AL11" s="49" t="n"/>
      <c r="AM11" s="49" t="n"/>
      <c r="AN11" s="49" t="n"/>
      <c r="AO11" s="49" t="n"/>
      <c r="AP11" s="49" t="n"/>
      <c r="AQ11" s="49" t="n"/>
      <c r="AR11" s="49" t="n"/>
      <c r="AS11" s="49" t="n"/>
      <c r="AT11" s="49" t="n"/>
      <c r="AU11" s="49" t="n"/>
      <c r="AV11" s="49" t="n"/>
      <c r="AW11" s="49" t="n"/>
      <c r="AX11" s="49" t="n"/>
      <c r="AY11" s="49" t="n"/>
      <c r="AZ11" s="49" t="n"/>
      <c r="BA11" s="49" t="n"/>
      <c r="BB11" s="49" t="n"/>
      <c r="BC11" s="49" t="n"/>
      <c r="BD11" s="49" t="n"/>
      <c r="BE11" s="49" t="n"/>
      <c r="BF11" s="49" t="n"/>
      <c r="BG11" s="49" t="n"/>
    </row>
    <row r="12" ht="45" customHeight="1">
      <c r="B12" s="84" t="inlineStr">
        <is>
          <t>الكلمة الإفتتاحية (إيمانية) 10د</t>
        </is>
      </c>
      <c r="C12" s="98" t="n"/>
      <c r="D12" s="98" t="n"/>
      <c r="E12" s="97" t="n"/>
      <c r="F12" s="50" t="n"/>
      <c r="G12" s="1" t="n"/>
      <c r="H12" s="1" t="n"/>
      <c r="I12" s="1" t="inlineStr">
        <is>
          <t>تمت</t>
        </is>
      </c>
      <c r="J12" s="1" t="n"/>
      <c r="K12" s="1" t="n"/>
      <c r="L12" s="1" t="n"/>
      <c r="M12" s="1" t="n"/>
      <c r="N12" s="1" t="n"/>
      <c r="O12" s="1" t="n"/>
      <c r="P12" s="1" t="n"/>
      <c r="Q12" s="1" t="inlineStr">
        <is>
          <t>لم تتم</t>
        </is>
      </c>
      <c r="R12" s="1" t="n"/>
      <c r="S12" s="1" t="inlineStr">
        <is>
          <t>تمت</t>
        </is>
      </c>
      <c r="T12" s="1" t="inlineStr">
        <is>
          <t>تمت</t>
        </is>
      </c>
      <c r="U12" s="51" t="inlineStr">
        <is>
          <t xml:space="preserve">تمت
</t>
        </is>
      </c>
      <c r="V12" s="51" t="inlineStr">
        <is>
          <t>تمت الي صفحة 41
من كتاب الداء و الدواء</t>
        </is>
      </c>
      <c r="W12" s="1" t="inlineStr">
        <is>
          <t>لم تتم</t>
        </is>
      </c>
      <c r="X12" s="51" t="inlineStr">
        <is>
          <t xml:space="preserve">تمت الي صفحة 66
من كتاب الداء والدواء  </t>
        </is>
      </c>
      <c r="Y12" s="51" t="inlineStr">
        <is>
          <t xml:space="preserve">تمت الي صفحة 46
من كتاب الداء والدواء </t>
        </is>
      </c>
      <c r="Z12" s="1" t="n"/>
      <c r="AA12" s="51" t="inlineStr">
        <is>
          <t xml:space="preserve">تمت الي صفحة 48
من كتاب الداء والدواء </t>
        </is>
      </c>
      <c r="AB12" s="51" t="inlineStr">
        <is>
          <t xml:space="preserve">تمت الي صفحة 50
من كتاب الداء والدواء </t>
        </is>
      </c>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c r="BF12" s="1" t="n"/>
      <c r="BG12" s="1" t="n"/>
    </row>
    <row r="13" ht="90" customHeight="1">
      <c r="B13" s="84" t="inlineStr">
        <is>
          <t xml:space="preserve"> التفقد العلمي للأعضاء (مذاكرة - حضور)</t>
        </is>
      </c>
      <c r="C13" s="98" t="n"/>
      <c r="D13" s="98" t="n"/>
      <c r="E13" s="97" t="n"/>
      <c r="F13" s="50" t="n"/>
      <c r="G13" s="1" t="n"/>
      <c r="H13" s="1" t="n"/>
      <c r="I13" s="1" t="inlineStr">
        <is>
          <t>تمت</t>
        </is>
      </c>
      <c r="J13" s="1" t="n"/>
      <c r="K13" s="1" t="n"/>
      <c r="L13" s="1" t="n"/>
      <c r="M13" s="1" t="n"/>
      <c r="N13" s="1" t="n"/>
      <c r="O13" s="1" t="n"/>
      <c r="P13" s="1" t="n"/>
      <c r="Q13" s="1" t="inlineStr">
        <is>
          <t>لم يتم</t>
        </is>
      </c>
      <c r="R13" s="1" t="n"/>
      <c r="S13" s="1" t="inlineStr">
        <is>
          <t>تمت</t>
        </is>
      </c>
      <c r="T13" s="1" t="inlineStr">
        <is>
          <t>تمت</t>
        </is>
      </c>
      <c r="U13" s="1" t="inlineStr">
        <is>
          <t>تمت</t>
        </is>
      </c>
      <c r="V13" s="1" t="inlineStr">
        <is>
          <t>محي لم يحضر الجلسة العلمية لظرف</t>
        </is>
      </c>
      <c r="W13" s="1" t="inlineStr">
        <is>
          <t>تمت</t>
        </is>
      </c>
      <c r="X13" s="51" t="inlineStr">
        <is>
          <t>محي لم يحضر  للعمل
محمد ايهاب لم يحضر لمرضه 
سعيد ربيع لم يحضر لظروف خاصه</t>
        </is>
      </c>
      <c r="Y13" s="51" t="inlineStr">
        <is>
          <t xml:space="preserve">ادم لم يحضر ولم يذاكر 
سعيد لم يحضر </t>
        </is>
      </c>
      <c r="Z13" s="1" t="n"/>
      <c r="AA13" s="1" t="inlineStr">
        <is>
          <t>اسبوع أجازة العيد</t>
        </is>
      </c>
      <c r="AB13" s="51" t="inlineStr">
        <is>
          <t>العلمية:
حضر محمد ايهاب و طاهر ومحي
القرآن:
حضر محمد إيهاب ومحي</t>
        </is>
      </c>
      <c r="AC13" s="1" t="n"/>
      <c r="AD13" s="1" t="n"/>
      <c r="AE13" s="1" t="n"/>
      <c r="AF13" s="1" t="n"/>
      <c r="AG13" s="1" t="n"/>
      <c r="AH13" s="1" t="n"/>
      <c r="AI13" s="1" t="n"/>
      <c r="AJ13" s="1" t="n"/>
      <c r="AK13" s="1" t="n"/>
      <c r="AL13" s="1" t="n"/>
      <c r="AM13" s="1" t="n"/>
      <c r="AN13" s="1" t="n"/>
      <c r="AO13" s="1" t="n"/>
      <c r="AP13" s="1" t="n"/>
      <c r="AQ13" s="1" t="n"/>
      <c r="AR13" s="1" t="n"/>
      <c r="AS13" s="1" t="n"/>
      <c r="AT13" s="1" t="n"/>
      <c r="AU13" s="1" t="n"/>
      <c r="AV13" s="1" t="n"/>
      <c r="AW13" s="1" t="n"/>
      <c r="AX13" s="1" t="n"/>
      <c r="AY13" s="1" t="n"/>
      <c r="AZ13" s="1" t="n"/>
      <c r="BA13" s="1" t="n"/>
      <c r="BB13" s="1" t="n"/>
      <c r="BC13" s="1" t="n"/>
      <c r="BD13" s="1" t="n"/>
      <c r="BE13" s="1" t="n"/>
      <c r="BF13" s="1" t="n"/>
      <c r="BG13" s="1" t="n"/>
    </row>
    <row r="14" ht="135" customHeight="1">
      <c r="B14" s="84" t="inlineStr">
        <is>
          <t>تسجيل الإقتراحات 5د</t>
        </is>
      </c>
      <c r="C14" s="98" t="n"/>
      <c r="D14" s="98" t="n"/>
      <c r="E14" s="97" t="n"/>
      <c r="F14" s="50" t="n"/>
      <c r="G14" s="1" t="n"/>
      <c r="H14" s="1" t="n"/>
      <c r="I14" s="51" t="inlineStr">
        <is>
          <t>يوم الاثنين تصور ٨ جولات
 تصور زيارة الحي تم إلى هنا
معرض الكتاب 
ملصقات دعوية
تنظيف المساجد التي فيها طلائع
تجهيز شنط رمضان</t>
        </is>
      </c>
      <c r="J14" s="1" t="n"/>
      <c r="K14" s="1" t="n"/>
      <c r="L14" s="1" t="n"/>
      <c r="M14" s="1" t="n"/>
      <c r="N14" s="1" t="n"/>
      <c r="O14" s="1" t="n"/>
      <c r="P14" s="1" t="n"/>
      <c r="Q14" s="1" t="inlineStr">
        <is>
          <t>الزيارات</t>
        </is>
      </c>
      <c r="R14" s="1" t="n"/>
      <c r="S14" s="1" t="inlineStr">
        <is>
          <t>زيارة حي شرق حي شبرا الخيمة ١٩ ابريل من اعضاء الحزب جميعا</t>
        </is>
      </c>
      <c r="T14" s="51" t="inlineStr">
        <is>
          <t>اقتراح إنشاء اللجنة الإعلامية للحزب@محمد محي
اقتراح فاعلية توعية (الانتحار-الهشاشة النفسية) @محمد محي</t>
        </is>
      </c>
      <c r="U14" s="51" t="inlineStr">
        <is>
          <t>1. فاعلية للنساء (الثقافة الاسرية) - أحمد حمادة
2. تربح عن طريق دورات وفاعليات - محي</t>
        </is>
      </c>
      <c r="V14" s="1" t="inlineStr">
        <is>
          <t>لا يوجد</t>
        </is>
      </c>
      <c r="W14" s="1" t="inlineStr">
        <is>
          <t>لا يوجد</t>
        </is>
      </c>
      <c r="X14" s="51" t="inlineStr">
        <is>
          <t>صالون الثقافي ( محمد ايهاب )
هيكلة وتفعيل الجنة الإعلامية(محمد ايهاب )
دوري بلاستيشن ( احمد طاهر )</t>
        </is>
      </c>
      <c r="Y14" s="51" t="inlineStr">
        <is>
          <t>كورس انجليزي 
دورة اكسيل
دورة ادارة اعمال (احمد حماده)</t>
        </is>
      </c>
      <c r="Z14" s="1" t="n"/>
      <c r="AA14" s="51" t="inlineStr">
        <is>
          <t xml:space="preserve">1- كورسات ودورات تعليمية وتدريبية @محي
2- تثقيف شباب الدعوة السياسي
</t>
        </is>
      </c>
      <c r="AB14" s="51" t="inlineStr">
        <is>
          <t>ملتقى صيفي في مكان عام (التخطيط للمستقبل والاستعداد لسوق العمل) @ محي
مصيف اليوم الواحد@طاهر
تفعيل دوري البلايستيشن في باقي القطاعات @أحمد حمادة</t>
        </is>
      </c>
      <c r="AC14" s="1" t="n"/>
      <c r="AD14" s="1" t="n"/>
      <c r="AE14" s="1" t="n"/>
      <c r="AF14" s="1" t="n"/>
      <c r="AG14" s="1" t="n"/>
      <c r="AH14" s="1" t="n"/>
      <c r="AI14" s="1" t="n"/>
      <c r="AJ14" s="1" t="n"/>
      <c r="AK14" s="1" t="n"/>
      <c r="AL14" s="1" t="n"/>
      <c r="AM14" s="1" t="n"/>
      <c r="AN14" s="1" t="n"/>
      <c r="AO14" s="1" t="n"/>
      <c r="AP14" s="1" t="n"/>
      <c r="AQ14" s="1" t="n"/>
      <c r="AR14" s="1" t="n"/>
      <c r="AS14" s="1" t="n"/>
      <c r="AT14" s="1" t="n"/>
      <c r="AU14" s="1" t="n"/>
      <c r="AV14" s="1" t="n"/>
      <c r="AW14" s="1" t="n"/>
      <c r="AX14" s="1" t="n"/>
      <c r="AY14" s="1" t="n"/>
      <c r="AZ14" s="1" t="n"/>
      <c r="BA14" s="1" t="n"/>
      <c r="BB14" s="1" t="n"/>
      <c r="BC14" s="1" t="n"/>
      <c r="BD14" s="1" t="n"/>
      <c r="BE14" s="1" t="n"/>
      <c r="BF14" s="1" t="n"/>
      <c r="BG14" s="1" t="n"/>
    </row>
    <row r="15" ht="67.5" customHeight="1">
      <c r="B15" s="84" t="inlineStr">
        <is>
          <t>متابعة التكليفات 10د</t>
        </is>
      </c>
      <c r="C15" s="98" t="n"/>
      <c r="D15" s="98" t="n"/>
      <c r="E15" s="97" t="n"/>
      <c r="F15" s="50" t="n"/>
      <c r="G15" s="1" t="n"/>
      <c r="H15" s="1" t="n"/>
      <c r="I15" s="1" t="inlineStr">
        <is>
          <t>تمت</t>
        </is>
      </c>
      <c r="J15" s="1" t="n"/>
      <c r="K15" s="1" t="n"/>
      <c r="L15" s="1" t="n"/>
      <c r="M15" s="1" t="n"/>
      <c r="N15" s="1" t="n"/>
      <c r="O15" s="1" t="n"/>
      <c r="P15" s="1" t="n"/>
      <c r="Q15" s="1" t="inlineStr">
        <is>
          <t>لا يوجد</t>
        </is>
      </c>
      <c r="R15" s="1" t="n"/>
      <c r="S15" s="1" t="inlineStr">
        <is>
          <t>تمت</t>
        </is>
      </c>
      <c r="T15" s="1" t="inlineStr">
        <is>
          <t>تمت</t>
        </is>
      </c>
      <c r="U15" s="1" t="inlineStr">
        <is>
          <t>تمت</t>
        </is>
      </c>
      <c r="V15" s="51" t="inlineStr">
        <is>
          <t>تمت 
90%</t>
        </is>
      </c>
      <c r="W15" s="51" t="inlineStr">
        <is>
          <t>تمت
67%</t>
        </is>
      </c>
      <c r="X15" s="51" t="inlineStr">
        <is>
          <t>تمت 
100%</t>
        </is>
      </c>
      <c r="Y15" s="51" t="inlineStr">
        <is>
          <t xml:space="preserve">تمت
100%
</t>
        </is>
      </c>
      <c r="Z15" s="1" t="n"/>
      <c r="AA15" s="51" t="inlineStr">
        <is>
          <t>تمت  
70%</t>
        </is>
      </c>
      <c r="AB15" s="51" t="inlineStr">
        <is>
          <t xml:space="preserve">تمت
100%
</t>
        </is>
      </c>
      <c r="AC15" s="1" t="n"/>
      <c r="AD15" s="1" t="n"/>
      <c r="AE15" s="1" t="n"/>
      <c r="AF15" s="1" t="n"/>
      <c r="AG15" s="1" t="n"/>
      <c r="AH15" s="1" t="n"/>
      <c r="AI15" s="1" t="n"/>
      <c r="AJ15" s="1" t="n"/>
      <c r="AK15" s="1" t="n"/>
      <c r="AL15" s="1" t="n"/>
      <c r="AM15" s="1" t="n"/>
      <c r="AN15" s="1" t="n"/>
      <c r="AO15" s="1" t="n"/>
      <c r="AP15" s="1" t="n"/>
      <c r="AQ15" s="1" t="n"/>
      <c r="AR15" s="1" t="n"/>
      <c r="AS15" s="1" t="n"/>
      <c r="AT15" s="1" t="n"/>
      <c r="AU15" s="1" t="n"/>
      <c r="AV15" s="1" t="n"/>
      <c r="AW15" s="1" t="n"/>
      <c r="AX15" s="1" t="n"/>
      <c r="AY15" s="1" t="n"/>
      <c r="AZ15" s="1" t="n"/>
      <c r="BA15" s="1" t="n"/>
      <c r="BB15" s="1" t="n"/>
      <c r="BC15" s="1" t="n"/>
      <c r="BD15" s="1" t="n"/>
      <c r="BE15" s="1" t="n"/>
      <c r="BF15" s="1" t="n"/>
      <c r="BG15" s="1" t="n"/>
    </row>
    <row r="16" ht="409.5" customHeight="1">
      <c r="B16" s="84" t="inlineStr">
        <is>
          <t>الخطة 10د</t>
        </is>
      </c>
      <c r="C16" s="98" t="n"/>
      <c r="D16" s="98" t="n"/>
      <c r="E16" s="97" t="n"/>
      <c r="F16" s="50" t="n"/>
      <c r="G16" s="1" t="n"/>
      <c r="H16" s="1" t="n"/>
      <c r="I16" s="1" t="inlineStr">
        <is>
          <t>تمت</t>
        </is>
      </c>
      <c r="J16" s="1" t="n"/>
      <c r="K16" s="1" t="n"/>
      <c r="L16" s="1" t="n"/>
      <c r="M16" s="1" t="n"/>
      <c r="N16" s="1" t="n"/>
      <c r="O16" s="1" t="n"/>
      <c r="P16" s="1" t="n"/>
      <c r="Q16" s="1" t="n"/>
      <c r="R16" s="1" t="n"/>
      <c r="S16" s="1" t="inlineStr">
        <is>
          <t>تمت</t>
        </is>
      </c>
      <c r="T16" s="51" t="inlineStr">
        <is>
          <t>محمد إيهاب يتواصل مع حسن يوسف للاتفاق على فاعلية الاسعافات الأولية للنساء.
وتم مناقشة موضوع الجولات الدعوية.</t>
        </is>
      </c>
      <c r="U16" s="51" t="inlineStr">
        <is>
          <t xml:space="preserve">تم تواصل محمد ايهاب مع حسن يوسف ثم الشيخ محمد صابر لمعرفة آلية تنفيذ هذه الفاعلية وجاري العمل على تنفيذها
----
تم نزول ثلاث جولات
</t>
        </is>
      </c>
      <c r="V16" s="51" t="inlineStr">
        <is>
          <t xml:space="preserve">*تجديد نزول الجولات
(التواصل مجددا مع القطاعات لنزول الجولات)
*فاعلية الاسعافات الأولية للنساء
*ارسال تقريرعن تفعيل اللجنة الإعلامية </t>
        </is>
      </c>
      <c r="W16" s="51" t="inlineStr">
        <is>
          <t>*تجديد نزول الجولات
(التواصل مجددا مع القطاعات لنزول الجولات)
*فاعلية الاسعافات الأولية للنساء</t>
        </is>
      </c>
      <c r="X16" s="51" t="inlineStr">
        <is>
          <t>*تجديد نزول الجولات
*فاعلية الاسعافات الأولية للنساء</t>
        </is>
      </c>
      <c r="Y16" s="51" t="inlineStr">
        <is>
          <t>*تنفيذ 6 جولات للقطاعات
-تم عمل جولة من قطاع بهتيم 
عن فضل عشر ذي الحجة 
قام بها محمد محي واحمد السيد ومحمد مصطفي 
-قطاع الوحدة 
لم يتم نزول الجولة ويتم التجديد التكليف علي @سعيد ربيع
-قطاع مسطرد
سيتم نزول الجولة قبل العيد
-قطاع بيجام
لم يتم نزول الجولات
وتكليف علي @محمد ايهاب لتصعيد واقعها للشيخ مجدي السيد
-قطاع الشابوري
سيتم نزول جولة قبل العيد 
وسيتم متابعه @محمدايهاب ليهم
*زيارة  تهنئة لعيد الاضحي
زيارة لمستشفي الناس اول يوم عيد الاضحي بعد صلاة العصر 
-سعيد ربيع ترتيب اظرف العيدية
*توزيع هدايا في صلاة العيد بدون اسم الحزب
-توزيع الهدايا 
@محمد ايهاب واحمد حمادة وادم</t>
        </is>
      </c>
      <c r="Z16" s="1" t="n"/>
      <c r="AA16" s="51" t="inlineStr">
        <is>
          <t>1- تنفيذ 5 جولات للقطاعات
تم عمل جولة واحده فقط حتى الآن من قطاع بهتيم عن فضل عشر ذي الحجة .. قام بها محمد محي واحمد السيد ومحمد مصطفي 
باقي القطاعات لم تتم
 2- *زيارة  تهنئة لعيد الاضحي : زيارة لمستشفي الناس اول يوم عيد الاضحي بعد صلاة العصر  (لم تتم لظروف بعض الإخوة)
تم تأجيلها الي الاسبوع الاخير من شهر ذي الحجه لمستشفي ناصر قسم الاطفال 
3- *توزيع هدايا في صلاة العيد بدون اسم الحزب (ادم و أحمد حمادة)
4- عمل مراجعات نهائية للشهادة الإعدادية ( غير قابلة للتطبيق )
5-عمل مراجعات نهائية اون لاين للشهادة الإعدادية ( غير قابلة للتطبيق )</t>
        </is>
      </c>
      <c r="AB16" s="51" t="inlineStr">
        <is>
          <t>1- عمل دورة اليوم الواحد عن العمل السياسي (صالون ثقافي لعموم الشباب):
 انحدار الأخلاق (الأسري والمجتمعي وتأثير السوشيال ميديا على القيم والثوابت - تحرك الحزب لوضع قانون الأحوال الشخصية - تحرك الحزب الدائم لإنكار المنكر والدعوة للعودة للقيم والخلاق الاسلامية)
المحاضر: د\ أحمد حمدي  او د احمد حمدي
تكليف بالتواصل مع د أحمد حمدي لمعرفة إمكانية إحضار د أحمد حمدي
بديل دكتور أحمد حمدي (أحمد الشحات - أحمد خليل خير الله)
عمل مراجعات نهائية للثانوية العامة والازهرية  (غير قابل للتطبيق)
عمل مراجعات نهائية اون لاين للثانوية العامة والازهرية   (غير قابل للتطبيق)
عمل زيارة رسمية (تهنئة بالعام الهجري الجديد)  &gt;  المكتبة (الأحد  21 يونيو):
آدم يجيب اسم مدير مكتبة شبرا في مسطرد ويعرف المعاد المناسب
درع وشوكلاتة (محي)
تنفيذ 5 جولات ميدانية شهريا ( جولة بكل قطاع ) - رفع واقع الجولات للفنيين @محمد إيهاب</t>
        </is>
      </c>
      <c r="AC16" s="1" t="n"/>
      <c r="AD16" s="1" t="n"/>
      <c r="AE16" s="1" t="n"/>
      <c r="AF16" s="1" t="n"/>
      <c r="AG16" s="1" t="n"/>
      <c r="AH16" s="1" t="n"/>
      <c r="AI16" s="1" t="n"/>
      <c r="AJ16" s="1" t="n"/>
      <c r="AK16" s="1" t="n"/>
      <c r="AL16" s="1" t="n"/>
      <c r="AM16" s="1" t="n"/>
      <c r="AN16" s="1" t="n"/>
      <c r="AO16" s="1" t="n"/>
      <c r="AP16" s="1" t="n"/>
      <c r="AQ16" s="1" t="n"/>
      <c r="AR16" s="1" t="n"/>
      <c r="AS16" s="1" t="n"/>
      <c r="AT16" s="1" t="n"/>
      <c r="AU16" s="1" t="n"/>
      <c r="AV16" s="1" t="n"/>
      <c r="AW16" s="1" t="n"/>
      <c r="AX16" s="1" t="n"/>
      <c r="AY16" s="1" t="n"/>
      <c r="AZ16" s="1" t="n"/>
      <c r="BA16" s="1" t="n"/>
      <c r="BB16" s="1" t="n"/>
      <c r="BC16" s="1" t="n"/>
      <c r="BD16" s="1" t="n"/>
      <c r="BE16" s="1" t="n"/>
      <c r="BF16" s="1" t="n"/>
      <c r="BG16" s="1" t="n"/>
    </row>
    <row r="17" ht="25.9" customHeight="1">
      <c r="B17" s="84" t="inlineStr">
        <is>
          <t>متابعة شغل الأرض 10د</t>
        </is>
      </c>
      <c r="C17" s="98" t="n"/>
      <c r="D17" s="98" t="n"/>
      <c r="E17" s="97" t="n"/>
      <c r="F17" s="50" t="n"/>
      <c r="G17" s="1" t="n"/>
      <c r="H17" s="1" t="n"/>
      <c r="I17" s="1" t="inlineStr">
        <is>
          <t>تمت</t>
        </is>
      </c>
      <c r="J17" s="1" t="n"/>
      <c r="K17" s="1" t="n"/>
      <c r="L17" s="1" t="n"/>
      <c r="M17" s="1" t="n"/>
      <c r="N17" s="1" t="n"/>
      <c r="O17" s="1" t="n"/>
      <c r="P17" s="1" t="n"/>
      <c r="Q17" s="1" t="n"/>
      <c r="R17" s="1" t="n"/>
      <c r="S17" s="1" t="inlineStr">
        <is>
          <t>تمت</t>
        </is>
      </c>
      <c r="T17" s="51" t="inlineStr">
        <is>
          <t>تمت الجولة الدعوية لقطاعي بهتيم ومسطرد:
1-تم تكليف يوسف محمد بالتواصل مع لجنة الشباب لحصر أسماء الشباب المستهدف لنزول الجولات من كل قطاع وسوف يتم عمل فاعلية لشرح أهمية الجولات الدعوية (الشيخ مجدي)
2-تمت جلسة بين محمد إيهاب وأدهم محمد و رضا صلاح (قطاع بهتيم) وتم الاتفاق على القيام بجولة دعوية يوم الاثنين بعد صلاة العشاء (20 ابريل)</t>
        </is>
      </c>
      <c r="U17" s="51" t="inlineStr">
        <is>
          <t xml:space="preserve">1-تم نزول ثلاث جولات 
2-زيارة رسمية لحي شرق
</t>
        </is>
      </c>
      <c r="V17" s="1" t="inlineStr">
        <is>
          <t>لا يوجد</t>
        </is>
      </c>
      <c r="W17" s="51" t="inlineStr">
        <is>
          <t>ترتيب فاعلية
حياة تستحق</t>
        </is>
      </c>
      <c r="X17" s="1" t="inlineStr">
        <is>
          <t xml:space="preserve">تمت فاعلية حياة تستحق </t>
        </is>
      </c>
      <c r="Y17" s="1" t="inlineStr">
        <is>
          <t>تم جولة في قطاع بهتيم وتشغيل اللجنة الاعلامية</t>
        </is>
      </c>
      <c r="Z17" s="1" t="n"/>
      <c r="AA17" s="1" t="inlineStr">
        <is>
          <t xml:space="preserve">لايوجد </t>
        </is>
      </c>
      <c r="AB17" s="1" t="n"/>
      <c r="AC17" s="1" t="n"/>
      <c r="AD17" s="1" t="n"/>
      <c r="AE17" s="1" t="n"/>
      <c r="AF17" s="1" t="n"/>
      <c r="AG17" s="1" t="n"/>
      <c r="AH17" s="1" t="n"/>
      <c r="AI17" s="1" t="n"/>
      <c r="AJ17" s="1" t="n"/>
      <c r="AK17" s="1" t="n"/>
      <c r="AL17" s="1" t="n"/>
      <c r="AM17" s="1" t="n"/>
      <c r="AN17" s="1" t="n"/>
      <c r="AO17" s="1" t="n"/>
      <c r="AP17" s="1" t="n"/>
      <c r="AQ17" s="1" t="n"/>
      <c r="AR17" s="1" t="n"/>
      <c r="AS17" s="1" t="n"/>
      <c r="AT17" s="1" t="n"/>
      <c r="AU17" s="1" t="n"/>
      <c r="AV17" s="1" t="n"/>
      <c r="AW17" s="1" t="n"/>
      <c r="AX17" s="1" t="n"/>
      <c r="AY17" s="1" t="n"/>
      <c r="AZ17" s="1" t="n"/>
      <c r="BA17" s="1" t="n"/>
      <c r="BB17" s="1" t="n"/>
      <c r="BC17" s="1" t="n"/>
      <c r="BD17" s="1" t="n"/>
      <c r="BE17" s="1" t="n"/>
      <c r="BF17" s="1" t="n"/>
      <c r="BG17" s="1" t="n"/>
    </row>
    <row r="18" ht="18.6" customHeight="1">
      <c r="B18" s="86" t="n"/>
      <c r="C18" s="99" t="n"/>
      <c r="D18" s="100" t="n"/>
      <c r="E18" s="39" t="n"/>
      <c r="F18" s="48" t="n"/>
      <c r="G18" s="49" t="n"/>
      <c r="H18" s="49" t="n"/>
      <c r="I18" s="49" t="n"/>
      <c r="J18" s="49" t="n"/>
      <c r="K18" s="49" t="n"/>
      <c r="L18" s="49" t="n"/>
      <c r="M18" s="49" t="n"/>
      <c r="N18" s="49" t="n"/>
      <c r="O18" s="49" t="n"/>
      <c r="P18" s="49" t="n"/>
      <c r="Q18" s="49" t="n"/>
      <c r="R18" s="49" t="n"/>
      <c r="S18" s="49" t="n"/>
      <c r="T18" s="49" t="n"/>
      <c r="U18" s="49" t="n"/>
      <c r="V18" s="49" t="n"/>
      <c r="W18" s="49" t="n"/>
      <c r="X18" s="49" t="n"/>
      <c r="Y18" s="49" t="n"/>
      <c r="Z18" s="49" t="n"/>
      <c r="AA18" s="49">
        <f>IFERROR(AVERAGE(AD18:CD18),"")</f>
        <v/>
      </c>
      <c r="AB18" s="49" t="n"/>
      <c r="AC18" s="49" t="n"/>
      <c r="AD18" s="49" t="n"/>
      <c r="AE18" s="49" t="n"/>
      <c r="AF18" s="49" t="n"/>
      <c r="AG18" s="49" t="n"/>
      <c r="AH18" s="49" t="n"/>
      <c r="AI18" s="49" t="n"/>
      <c r="AJ18" s="49" t="n"/>
      <c r="AK18" s="49" t="n"/>
      <c r="AL18" s="49" t="n"/>
      <c r="AM18" s="49" t="n"/>
      <c r="AN18" s="49" t="n"/>
      <c r="AO18" s="49" t="n"/>
      <c r="AP18" s="49" t="n"/>
      <c r="AQ18" s="49" t="n"/>
      <c r="AR18" s="49" t="n"/>
      <c r="AS18" s="49" t="n"/>
      <c r="AT18" s="49" t="n"/>
      <c r="AU18" s="49" t="n"/>
      <c r="AV18" s="49" t="n"/>
      <c r="AW18" s="49" t="n"/>
      <c r="AX18" s="49" t="n"/>
      <c r="AY18" s="49" t="n"/>
      <c r="AZ18" s="49" t="n"/>
      <c r="BA18" s="49" t="n"/>
      <c r="BB18" s="49" t="n"/>
      <c r="BC18" s="49" t="n"/>
      <c r="BD18" s="49" t="n"/>
      <c r="BE18" s="49" t="n"/>
      <c r="BF18" s="49" t="n"/>
      <c r="BG18" s="49" t="n"/>
    </row>
    <row r="19" ht="22.9" customHeight="1">
      <c r="B19" s="87" t="inlineStr">
        <is>
          <t>جولات</t>
        </is>
      </c>
      <c r="C19" s="101" t="n"/>
      <c r="D19" s="92" t="inlineStr">
        <is>
          <t>بيجام</t>
        </is>
      </c>
      <c r="E19" s="102" t="n"/>
      <c r="F19" s="50" t="n"/>
      <c r="G19" s="1" t="n"/>
      <c r="H19" s="1" t="n"/>
      <c r="I19" s="1" t="inlineStr">
        <is>
          <t>تجديد يوم الاربعاء القادم</t>
        </is>
      </c>
      <c r="J19" s="1" t="n"/>
      <c r="K19" s="1" t="n"/>
      <c r="L19" s="1" t="n"/>
      <c r="M19" s="1" t="n"/>
      <c r="N19" s="1" t="n"/>
      <c r="O19" s="1" t="n"/>
      <c r="P19" s="1" t="n"/>
      <c r="Q19" s="1" t="n"/>
      <c r="R19" s="1" t="n"/>
      <c r="S19" s="1" t="inlineStr">
        <is>
          <t>لم تتم</t>
        </is>
      </c>
      <c r="T19" s="1" t="inlineStr">
        <is>
          <t>لم تتم</t>
        </is>
      </c>
      <c r="U19" s="1" t="inlineStr">
        <is>
          <t>لم تتم</t>
        </is>
      </c>
      <c r="V19" s="1" t="n"/>
      <c r="W19" s="1" t="n"/>
      <c r="X19" s="1" t="n"/>
      <c r="Y19" s="51" t="inlineStr">
        <is>
          <t>لم يتم نزول الجولات
وتكليف علي @محمد ايهاب لتصعيد واقعها للشيخ مجدي السيد</t>
        </is>
      </c>
      <c r="Z19" s="1" t="n"/>
      <c r="AA19" s="51" t="inlineStr">
        <is>
          <t>لم يتم نزول الجولات
وتكليف علي @محمد ايهاب لتصعيد واقعها للشيخ مجدي السيد</t>
        </is>
      </c>
      <c r="AB19" s="1" t="n"/>
      <c r="AC19" s="1" t="n"/>
      <c r="AD19" s="1" t="n"/>
      <c r="AE19" s="1" t="n"/>
      <c r="AF19" s="1" t="n"/>
      <c r="AG19" s="1" t="n"/>
      <c r="AH19" s="1" t="n"/>
      <c r="AI19" s="1" t="n"/>
      <c r="AJ19" s="1" t="n"/>
      <c r="AK19" s="1" t="n"/>
      <c r="AL19" s="1" t="n"/>
      <c r="AM19" s="1" t="n"/>
      <c r="AN19" s="1" t="n"/>
      <c r="AO19" s="1" t="n"/>
      <c r="AP19" s="1" t="n"/>
      <c r="AQ19" s="1" t="n"/>
      <c r="AR19" s="1" t="n"/>
      <c r="AS19" s="1" t="n"/>
      <c r="AT19" s="1" t="n"/>
      <c r="AU19" s="1" t="n"/>
      <c r="AV19" s="1" t="n"/>
      <c r="AW19" s="1" t="n"/>
      <c r="AX19" s="1" t="n"/>
      <c r="AY19" s="1" t="n"/>
      <c r="AZ19" s="1" t="n"/>
      <c r="BA19" s="1" t="n"/>
      <c r="BB19" s="1" t="n"/>
      <c r="BC19" s="1" t="n"/>
      <c r="BD19" s="1" t="n"/>
      <c r="BE19" s="1" t="n"/>
      <c r="BF19" s="1" t="n"/>
      <c r="BG19" s="1" t="n"/>
    </row>
    <row r="20" ht="22.9" customHeight="1">
      <c r="B20" s="103" t="n"/>
      <c r="C20" s="104" t="n"/>
      <c r="D20" s="92" t="inlineStr">
        <is>
          <t>الشابوري</t>
        </is>
      </c>
      <c r="E20" s="102" t="n"/>
      <c r="F20" s="50" t="n"/>
      <c r="G20" s="1" t="n"/>
      <c r="H20" s="1" t="n"/>
      <c r="I20" s="1" t="inlineStr">
        <is>
          <t>تجديد يوم الاربعاء القادم</t>
        </is>
      </c>
      <c r="J20" s="1" t="n"/>
      <c r="K20" s="1" t="n"/>
      <c r="L20" s="1" t="n"/>
      <c r="M20" s="1" t="n"/>
      <c r="N20" s="1" t="n"/>
      <c r="O20" s="1" t="n"/>
      <c r="P20" s="1" t="n"/>
      <c r="Q20" s="1" t="n"/>
      <c r="R20" s="1" t="n"/>
      <c r="S20" s="1" t="inlineStr">
        <is>
          <t>لم تتم</t>
        </is>
      </c>
      <c r="T20" s="1" t="inlineStr">
        <is>
          <t>لم تتم</t>
        </is>
      </c>
      <c r="U20" s="1" t="inlineStr">
        <is>
          <t>تم</t>
        </is>
      </c>
      <c r="V20" s="1" t="n"/>
      <c r="W20" s="1" t="n"/>
      <c r="X20" s="1" t="inlineStr">
        <is>
          <t xml:space="preserve">لم تتم </t>
        </is>
      </c>
      <c r="Y20" s="51" t="inlineStr">
        <is>
          <t>سيتم نزول جولة قبل العيد 
وسيتم متابعه @محمدايهاب ليهم</t>
        </is>
      </c>
      <c r="Z20" s="1" t="n"/>
      <c r="AA20" s="51" t="inlineStr">
        <is>
          <t>لم يتم نزول الجولات
وتكليف علي @محمد ايهاب لتصعيد واقعها للشيخ مجدي السيد</t>
        </is>
      </c>
      <c r="AB20" s="1" t="n"/>
      <c r="AC20" s="1" t="n"/>
      <c r="AD20" s="1" t="n"/>
      <c r="AE20" s="1" t="n"/>
      <c r="AF20" s="1" t="n"/>
      <c r="AG20" s="1" t="n"/>
      <c r="AH20" s="1" t="n"/>
      <c r="AI20" s="1" t="n"/>
      <c r="AJ20" s="1" t="n"/>
      <c r="AK20" s="1" t="n"/>
      <c r="AL20" s="1" t="n"/>
      <c r="AM20" s="1" t="n"/>
      <c r="AN20" s="1" t="n"/>
      <c r="AO20" s="1" t="n"/>
      <c r="AP20" s="1" t="n"/>
      <c r="AQ20" s="1" t="n"/>
      <c r="AR20" s="1" t="n"/>
      <c r="AS20" s="1" t="n"/>
      <c r="AT20" s="1" t="n"/>
      <c r="AU20" s="1" t="n"/>
      <c r="AV20" s="1" t="n"/>
      <c r="AW20" s="1" t="n"/>
      <c r="AX20" s="1" t="n"/>
      <c r="AY20" s="1" t="n"/>
      <c r="AZ20" s="1" t="n"/>
      <c r="BA20" s="1" t="n"/>
      <c r="BB20" s="1" t="n"/>
      <c r="BC20" s="1" t="n"/>
      <c r="BD20" s="1" t="n"/>
      <c r="BE20" s="1" t="n"/>
      <c r="BF20" s="1" t="n"/>
      <c r="BG20" s="1" t="n"/>
    </row>
    <row r="21" ht="22.9" customHeight="1">
      <c r="B21" s="103" t="n"/>
      <c r="C21" s="104" t="n"/>
      <c r="D21" s="92" t="inlineStr">
        <is>
          <t>الوحدة</t>
        </is>
      </c>
      <c r="E21" s="102" t="n"/>
      <c r="F21" s="50" t="n"/>
      <c r="G21" s="1" t="n"/>
      <c r="H21" s="1" t="n"/>
      <c r="I21" s="1" t="inlineStr">
        <is>
          <t>تجديد يوم الثلاثاء القادم</t>
        </is>
      </c>
      <c r="J21" s="1" t="n"/>
      <c r="K21" s="1" t="n"/>
      <c r="L21" s="1" t="n"/>
      <c r="M21" s="1" t="n"/>
      <c r="N21" s="1" t="n"/>
      <c r="O21" s="1" t="n"/>
      <c r="P21" s="1" t="n"/>
      <c r="Q21" s="1" t="n"/>
      <c r="R21" s="1" t="n"/>
      <c r="S21" s="1" t="inlineStr">
        <is>
          <t>لم تتم</t>
        </is>
      </c>
      <c r="T21" s="1" t="inlineStr">
        <is>
          <t>لم تتم</t>
        </is>
      </c>
      <c r="U21" s="1" t="inlineStr">
        <is>
          <t>تم</t>
        </is>
      </c>
      <c r="V21" s="1" t="n"/>
      <c r="W21" s="1" t="n"/>
      <c r="X21" s="1" t="inlineStr">
        <is>
          <t xml:space="preserve">لم تتم </t>
        </is>
      </c>
      <c r="Y21" s="1" t="inlineStr">
        <is>
          <t>لم يتم نزول الجولة ويتم التجديد التكليف علي @سعيد ربيع</t>
        </is>
      </c>
      <c r="Z21" s="1" t="n"/>
      <c r="AA21" s="51" t="inlineStr">
        <is>
          <t>لم يتم نزول الجولات
وتكليف علي @محمد ايهاب لتصعيد واقعها للشيخ مجدي السيد</t>
        </is>
      </c>
      <c r="AB21" s="1" t="n"/>
      <c r="AC21" s="1" t="n"/>
      <c r="AD21" s="1" t="n"/>
      <c r="AE21" s="1" t="n"/>
      <c r="AF21" s="1" t="n"/>
      <c r="AG21" s="1" t="n"/>
      <c r="AH21" s="1" t="n"/>
      <c r="AI21" s="1" t="n"/>
      <c r="AJ21" s="1" t="n"/>
      <c r="AK21" s="1" t="n"/>
      <c r="AL21" s="1" t="n"/>
      <c r="AM21" s="1" t="n"/>
      <c r="AN21" s="1" t="n"/>
      <c r="AO21" s="1" t="n"/>
      <c r="AP21" s="1" t="n"/>
      <c r="AQ21" s="1" t="n"/>
      <c r="AR21" s="1" t="n"/>
      <c r="AS21" s="1" t="n"/>
      <c r="AT21" s="1" t="n"/>
      <c r="AU21" s="1" t="n"/>
      <c r="AV21" s="1" t="n"/>
      <c r="AW21" s="1" t="n"/>
      <c r="AX21" s="1" t="n"/>
      <c r="AY21" s="1" t="n"/>
      <c r="AZ21" s="1" t="n"/>
      <c r="BA21" s="1" t="n"/>
      <c r="BB21" s="1" t="n"/>
      <c r="BC21" s="1" t="n"/>
      <c r="BD21" s="1" t="n"/>
      <c r="BE21" s="1" t="n"/>
      <c r="BF21" s="1" t="n"/>
      <c r="BG21" s="1" t="n"/>
    </row>
    <row r="22" ht="22.9" customHeight="1">
      <c r="B22" s="103" t="n"/>
      <c r="C22" s="104" t="n"/>
      <c r="D22" s="92" t="inlineStr">
        <is>
          <t>بهتيم</t>
        </is>
      </c>
      <c r="E22" s="102" t="n"/>
      <c r="F22" s="50" t="n"/>
      <c r="G22" s="1" t="n"/>
      <c r="H22" s="1" t="n"/>
      <c r="I22" s="1" t="inlineStr">
        <is>
          <t xml:space="preserve">تجديد </t>
        </is>
      </c>
      <c r="J22" s="1" t="n"/>
      <c r="K22" s="1" t="n"/>
      <c r="L22" s="1" t="n"/>
      <c r="M22" s="1" t="n"/>
      <c r="N22" s="1" t="n"/>
      <c r="O22" s="1" t="n"/>
      <c r="P22" s="1" t="n"/>
      <c r="Q22" s="1" t="n"/>
      <c r="R22" s="1" t="n"/>
      <c r="S22" s="1" t="inlineStr">
        <is>
          <t>لم تتم</t>
        </is>
      </c>
      <c r="T22" s="1" t="inlineStr">
        <is>
          <t>تمت</t>
        </is>
      </c>
      <c r="U22" s="1" t="inlineStr">
        <is>
          <t>تم</t>
        </is>
      </c>
      <c r="V22" s="1" t="n"/>
      <c r="W22" s="1" t="n"/>
      <c r="X22" s="1" t="inlineStr">
        <is>
          <t xml:space="preserve">لم تتم </t>
        </is>
      </c>
      <c r="Y22" s="51" t="inlineStr">
        <is>
          <t>تم عمل جولة من قطاع بهتيم 
عن فضل عشر ذي الحجة 
قام بها محمد محي واحمد السيد ومحمد مصطفي</t>
        </is>
      </c>
      <c r="Z22" s="1" t="n"/>
      <c r="AA22" s="51" t="inlineStr">
        <is>
          <t>تم عمل جولة من قطاع بهتيم 
عن فضل عشر ذي الحجة 
قام بها محمد محي واحمد السيد ومحمد مصطفي</t>
        </is>
      </c>
      <c r="AB22" s="1" t="n"/>
      <c r="AC22" s="1" t="n"/>
      <c r="AD22" s="1" t="n"/>
      <c r="AE22" s="1" t="n"/>
      <c r="AF22" s="1" t="n"/>
      <c r="AG22" s="1" t="n"/>
      <c r="AH22" s="1" t="n"/>
      <c r="AI22" s="1" t="n"/>
      <c r="AJ22" s="1" t="n"/>
      <c r="AK22" s="1" t="n"/>
      <c r="AL22" s="1" t="n"/>
      <c r="AM22" s="1" t="n"/>
      <c r="AN22" s="1" t="n"/>
      <c r="AO22" s="1" t="n"/>
      <c r="AP22" s="1" t="n"/>
      <c r="AQ22" s="1" t="n"/>
      <c r="AR22" s="1" t="n"/>
      <c r="AS22" s="1" t="n"/>
      <c r="AT22" s="1" t="n"/>
      <c r="AU22" s="1" t="n"/>
      <c r="AV22" s="1" t="n"/>
      <c r="AW22" s="1" t="n"/>
      <c r="AX22" s="1" t="n"/>
      <c r="AY22" s="1" t="n"/>
      <c r="AZ22" s="1" t="n"/>
      <c r="BA22" s="1" t="n"/>
      <c r="BB22" s="1" t="n"/>
      <c r="BC22" s="1" t="n"/>
      <c r="BD22" s="1" t="n"/>
      <c r="BE22" s="1" t="n"/>
      <c r="BF22" s="1" t="n"/>
      <c r="BG22" s="1" t="n"/>
    </row>
    <row r="23" ht="22.9" customHeight="1">
      <c r="B23" s="105" t="n"/>
      <c r="C23" s="106" t="n"/>
      <c r="D23" s="92" t="inlineStr">
        <is>
          <t>مسطرد</t>
        </is>
      </c>
      <c r="E23" s="102" t="n"/>
      <c r="F23" s="50" t="n"/>
      <c r="G23" s="1" t="n"/>
      <c r="H23" s="1" t="n"/>
      <c r="I23" s="1" t="inlineStr">
        <is>
          <t>تجديد</t>
        </is>
      </c>
      <c r="J23" s="1" t="n"/>
      <c r="K23" s="1" t="n"/>
      <c r="L23" s="1" t="n"/>
      <c r="M23" s="1" t="n"/>
      <c r="N23" s="1" t="n"/>
      <c r="O23" s="1" t="n"/>
      <c r="P23" s="1" t="n"/>
      <c r="Q23" s="1" t="n"/>
      <c r="R23" s="1" t="n"/>
      <c r="S23" s="1" t="inlineStr">
        <is>
          <t>لم تتم</t>
        </is>
      </c>
      <c r="T23" s="1" t="inlineStr">
        <is>
          <t>تمت</t>
        </is>
      </c>
      <c r="U23" s="1" t="inlineStr">
        <is>
          <t>لم تتم</t>
        </is>
      </c>
      <c r="V23" s="1" t="n"/>
      <c r="W23" s="1" t="n"/>
      <c r="X23" s="1" t="inlineStr">
        <is>
          <t xml:space="preserve">لم تتم </t>
        </is>
      </c>
      <c r="Y23" s="1" t="inlineStr">
        <is>
          <t>سيتم نزول الجولة قبل العيد</t>
        </is>
      </c>
      <c r="Z23" s="1" t="n"/>
      <c r="AA23" s="51" t="inlineStr">
        <is>
          <t>لم يتم نزول الجولات
وتكليف علي @محمد ايهاب لتصعيد واقعها للشيخ مجدي السيد</t>
        </is>
      </c>
      <c r="AB23" s="1" t="n"/>
      <c r="AC23" s="1" t="n"/>
      <c r="AD23" s="1" t="n"/>
      <c r="AE23" s="1" t="n"/>
      <c r="AF23" s="1" t="n"/>
      <c r="AG23" s="1" t="n"/>
      <c r="AH23" s="1" t="n"/>
      <c r="AI23" s="1" t="n"/>
      <c r="AJ23" s="1" t="n"/>
      <c r="AK23" s="1" t="n"/>
      <c r="AL23" s="1" t="n"/>
      <c r="AM23" s="1" t="n"/>
      <c r="AN23" s="1" t="n"/>
      <c r="AO23" s="1" t="n"/>
      <c r="AP23" s="1" t="n"/>
      <c r="AQ23" s="1" t="n"/>
      <c r="AR23" s="1" t="n"/>
      <c r="AS23" s="1" t="n"/>
      <c r="AT23" s="1" t="n"/>
      <c r="AU23" s="1" t="n"/>
      <c r="AV23" s="1" t="n"/>
      <c r="AW23" s="1" t="n"/>
      <c r="AX23" s="1" t="n"/>
      <c r="AY23" s="1" t="n"/>
      <c r="AZ23" s="1" t="n"/>
      <c r="BA23" s="1" t="n"/>
      <c r="BB23" s="1" t="n"/>
      <c r="BC23" s="1" t="n"/>
      <c r="BD23" s="1" t="n"/>
      <c r="BE23" s="1" t="n"/>
      <c r="BF23" s="1" t="n"/>
      <c r="BG23" s="1" t="n"/>
    </row>
    <row r="24" ht="54.75" customHeight="1">
      <c r="B24" s="89" t="inlineStr">
        <is>
          <t>أنشطة مجتمعية (زيارات - دورات- مراجعة نهائية - قوافل طبية - معارض)</t>
        </is>
      </c>
      <c r="E24" s="104" t="n"/>
      <c r="F24" s="50" t="n"/>
      <c r="G24" s="1" t="n"/>
      <c r="H24" s="1" t="n"/>
      <c r="I24" s="1" t="n"/>
      <c r="J24" s="1" t="n"/>
      <c r="K24" s="1" t="n"/>
      <c r="L24" s="1" t="n"/>
      <c r="M24" s="1" t="n"/>
      <c r="N24" s="1" t="n"/>
      <c r="O24" s="1" t="n"/>
      <c r="P24" s="1" t="n"/>
      <c r="Q24" s="1" t="n"/>
      <c r="R24" s="1" t="n"/>
      <c r="S24" s="1" t="n"/>
      <c r="T24" s="1" t="n"/>
      <c r="U24" s="1" t="inlineStr">
        <is>
          <t>تم زيارة للحي</t>
        </is>
      </c>
      <c r="V24" s="1" t="n"/>
      <c r="W24" s="1" t="n"/>
      <c r="X24" s="1" t="inlineStr">
        <is>
          <t>تم فاعلية حياة تستحق ورفع تقريرها</t>
        </is>
      </c>
      <c r="Y24" s="51" t="inlineStr">
        <is>
          <t>زيارة لمستشفي الناس اول يوم عيد الاضحي بعد صلاة العصر 
-سعيد ربيع ترتيب اظرف العيدية
@ادم يعمل كروت العيدية للأطفال</t>
        </is>
      </c>
      <c r="Z24" s="1" t="n"/>
      <c r="AA24" s="51" t="inlineStr">
        <is>
          <t>لم تتم زيارة مستشفى الناس كما كان مقرر لها نظرا لظروف بعض الإخوة في العيد
تم تأجيلها للأسبوع الاخير من شهر ذي الحجه
تم عمل فاعلية البلايستيشن وحضر خمس شباب من خارج الدعوة - منهم ثلاثة حضروا دروس ينابيع :
1- إسلام شعبان
2- محمد عصام
3- مصطفى صبحي</t>
        </is>
      </c>
      <c r="AB24" s="1" t="n"/>
      <c r="AC24" s="1" t="n"/>
      <c r="AD24" s="1" t="n"/>
      <c r="AE24" s="1" t="n"/>
      <c r="AF24" s="1" t="n"/>
      <c r="AG24" s="1" t="n"/>
      <c r="AH24" s="1" t="n"/>
      <c r="AI24" s="1" t="n"/>
      <c r="AJ24" s="1" t="n"/>
      <c r="AK24" s="1" t="n"/>
      <c r="AL24" s="1" t="n"/>
      <c r="AM24" s="1" t="n"/>
      <c r="AN24" s="1" t="n"/>
      <c r="AO24" s="1" t="n"/>
      <c r="AP24" s="1" t="n"/>
      <c r="AQ24" s="1" t="n"/>
      <c r="AR24" s="1" t="n"/>
      <c r="AS24" s="1" t="n"/>
      <c r="AT24" s="1" t="n"/>
      <c r="AU24" s="1" t="n"/>
      <c r="AV24" s="1" t="n"/>
      <c r="AW24" s="1" t="n"/>
      <c r="AX24" s="1" t="n"/>
      <c r="AY24" s="1" t="n"/>
      <c r="AZ24" s="1" t="n"/>
      <c r="BA24" s="1" t="n"/>
      <c r="BB24" s="1" t="n"/>
      <c r="BC24" s="1" t="n"/>
      <c r="BD24" s="1" t="n"/>
      <c r="BE24" s="1" t="n"/>
      <c r="BF24" s="1" t="n"/>
      <c r="BG24" s="1" t="n"/>
    </row>
    <row r="25" ht="15.75" customHeight="1">
      <c r="B25" s="86" t="n"/>
      <c r="C25" s="99" t="n"/>
      <c r="D25" s="100" t="n"/>
      <c r="E25" s="39" t="n"/>
      <c r="F25" s="48" t="n"/>
      <c r="G25" s="49" t="n"/>
      <c r="H25" s="49" t="n"/>
      <c r="I25" s="49" t="n"/>
      <c r="J25" s="49" t="n"/>
      <c r="K25" s="49" t="n"/>
      <c r="L25" s="49" t="n"/>
      <c r="M25" s="49" t="n"/>
      <c r="N25" s="49" t="n"/>
      <c r="O25" s="49" t="n"/>
      <c r="P25" s="49" t="n"/>
      <c r="Q25" s="49" t="n"/>
      <c r="R25" s="49" t="n"/>
      <c r="S25" s="49" t="n"/>
      <c r="T25" s="49" t="n"/>
      <c r="U25" s="49" t="n"/>
      <c r="V25" s="49" t="n"/>
      <c r="W25" s="49" t="n"/>
      <c r="X25" s="49" t="n"/>
      <c r="Y25" s="49" t="n"/>
      <c r="Z25" s="49" t="n"/>
      <c r="AA25" s="49">
        <f>IFERROR(AVERAGE(AD25:CD25),"")</f>
        <v/>
      </c>
      <c r="AB25" s="49" t="n"/>
      <c r="AC25" s="49" t="n"/>
      <c r="AD25" s="49" t="n"/>
      <c r="AE25" s="49" t="n"/>
      <c r="AF25" s="49" t="n"/>
      <c r="AG25" s="49" t="n"/>
      <c r="AH25" s="49" t="n"/>
      <c r="AI25" s="49" t="n"/>
      <c r="AJ25" s="49" t="n"/>
      <c r="AK25" s="49" t="n"/>
      <c r="AL25" s="49" t="n"/>
      <c r="AM25" s="49" t="n"/>
      <c r="AN25" s="49" t="n"/>
      <c r="AO25" s="49" t="n"/>
      <c r="AP25" s="49" t="n"/>
      <c r="AQ25" s="49" t="n"/>
      <c r="AR25" s="49" t="n"/>
      <c r="AS25" s="49" t="n"/>
      <c r="AT25" s="49" t="n"/>
      <c r="AU25" s="49" t="n"/>
      <c r="AV25" s="49" t="n"/>
      <c r="AW25" s="49" t="n"/>
      <c r="AX25" s="49" t="n"/>
      <c r="AY25" s="49" t="n"/>
      <c r="AZ25" s="49" t="n"/>
      <c r="BA25" s="49" t="n"/>
      <c r="BB25" s="49" t="n"/>
      <c r="BC25" s="49" t="n"/>
      <c r="BD25" s="49" t="n"/>
      <c r="BE25" s="49" t="n"/>
      <c r="BF25" s="49" t="n"/>
      <c r="BG25" s="49" t="n"/>
    </row>
    <row r="26" ht="14.25" customHeight="1">
      <c r="B26" s="85" t="n"/>
      <c r="C26" s="85" t="n"/>
      <c r="D26" s="85" t="n"/>
      <c r="E26" s="39" t="n"/>
      <c r="F26" s="48" t="n"/>
      <c r="G26" s="49" t="n"/>
      <c r="H26" s="49" t="n"/>
      <c r="I26" s="49" t="n"/>
      <c r="J26" s="49" t="n"/>
      <c r="K26" s="49" t="n"/>
      <c r="L26" s="49" t="n"/>
      <c r="M26" s="49" t="n"/>
      <c r="N26" s="49" t="n"/>
      <c r="O26" s="49" t="n"/>
      <c r="P26" s="49" t="n"/>
      <c r="Q26" s="49" t="n"/>
      <c r="R26" s="49" t="n"/>
      <c r="S26" s="49" t="n"/>
      <c r="T26" s="49" t="n"/>
      <c r="U26" s="49" t="n"/>
      <c r="V26" s="49" t="n"/>
      <c r="W26" s="49" t="n"/>
      <c r="X26" s="49" t="n"/>
      <c r="Y26" s="49" t="n"/>
      <c r="Z26" s="49" t="n"/>
      <c r="AA26" s="49">
        <f>IFERROR(AVERAGE(AD26:CD26),"")</f>
        <v/>
      </c>
      <c r="AB26" s="49" t="n"/>
      <c r="AC26" s="49" t="n"/>
      <c r="AD26" s="49" t="n"/>
      <c r="AE26" s="49" t="n"/>
      <c r="AF26" s="49" t="n"/>
      <c r="AG26" s="49" t="n"/>
      <c r="AH26" s="49" t="n"/>
      <c r="AI26" s="49" t="n"/>
      <c r="AJ26" s="49" t="n"/>
      <c r="AK26" s="49" t="n"/>
      <c r="AL26" s="49" t="n"/>
      <c r="AM26" s="49" t="n"/>
      <c r="AN26" s="49" t="n"/>
      <c r="AO26" s="49" t="n"/>
      <c r="AP26" s="49" t="n"/>
      <c r="AQ26" s="49" t="n"/>
      <c r="AR26" s="49" t="n"/>
      <c r="AS26" s="49" t="n"/>
      <c r="AT26" s="49" t="n"/>
      <c r="AU26" s="49" t="n"/>
      <c r="AV26" s="49" t="n"/>
      <c r="AW26" s="49" t="n"/>
      <c r="AX26" s="49" t="n"/>
      <c r="AY26" s="49" t="n"/>
      <c r="AZ26" s="49" t="n"/>
      <c r="BA26" s="49" t="n"/>
      <c r="BB26" s="49" t="n"/>
      <c r="BC26" s="49" t="n"/>
      <c r="BD26" s="49" t="n"/>
      <c r="BE26" s="49" t="n"/>
      <c r="BF26" s="49" t="n"/>
      <c r="BG26" s="49" t="n"/>
    </row>
    <row r="27" ht="17.25" customHeight="1">
      <c r="B27" s="85" t="n"/>
      <c r="C27" s="85" t="n"/>
      <c r="D27" s="86" t="n"/>
      <c r="E27" s="39" t="n"/>
      <c r="F27" s="48" t="n"/>
      <c r="G27" s="49" t="n"/>
      <c r="H27" s="49" t="n"/>
      <c r="I27" s="49" t="n"/>
      <c r="J27" s="49" t="n"/>
      <c r="K27" s="49" t="n"/>
      <c r="L27" s="49" t="n"/>
      <c r="M27" s="49" t="n"/>
      <c r="N27" s="49" t="n"/>
      <c r="O27" s="49" t="n"/>
      <c r="P27" s="49" t="n"/>
      <c r="Q27" s="49" t="n"/>
      <c r="R27" s="49" t="n"/>
      <c r="S27" s="49" t="n"/>
      <c r="T27" s="49" t="n"/>
      <c r="U27" s="49" t="n"/>
      <c r="V27" s="49" t="n"/>
      <c r="W27" s="49" t="n"/>
      <c r="X27" s="49" t="n"/>
      <c r="Y27" s="49" t="n"/>
      <c r="Z27" s="49" t="n"/>
      <c r="AA27" s="49">
        <f>IFERROR(AVERAGE(AD27:CD27),"")</f>
        <v/>
      </c>
      <c r="AB27" s="49" t="n"/>
      <c r="AC27" s="49" t="n"/>
      <c r="AD27" s="49" t="n"/>
      <c r="AE27" s="49" t="n"/>
      <c r="AF27" s="49" t="n"/>
      <c r="AG27" s="49" t="n"/>
      <c r="AH27" s="49" t="n"/>
      <c r="AI27" s="49" t="n"/>
      <c r="AJ27" s="49" t="n"/>
      <c r="AK27" s="49" t="n"/>
      <c r="AL27" s="49" t="n"/>
      <c r="AM27" s="49" t="n"/>
      <c r="AN27" s="49" t="n"/>
      <c r="AO27" s="49" t="n"/>
      <c r="AP27" s="49" t="n"/>
      <c r="AQ27" s="49" t="n"/>
      <c r="AR27" s="49" t="n"/>
      <c r="AS27" s="49" t="n"/>
      <c r="AT27" s="49" t="n"/>
      <c r="AU27" s="49" t="n"/>
      <c r="AV27" s="49" t="n"/>
      <c r="AW27" s="49" t="n"/>
      <c r="AX27" s="49" t="n"/>
      <c r="AY27" s="49" t="n"/>
      <c r="AZ27" s="49" t="n"/>
      <c r="BA27" s="49" t="n"/>
      <c r="BB27" s="49" t="n"/>
      <c r="BC27" s="49" t="n"/>
      <c r="BD27" s="49" t="n"/>
      <c r="BE27" s="49" t="n"/>
      <c r="BF27" s="49" t="n"/>
      <c r="BG27" s="49" t="n"/>
    </row>
    <row r="28" ht="409.5" customHeight="1">
      <c r="B28" s="84" t="inlineStr">
        <is>
          <t>مناقشة الإقتراحات القديمة 10د</t>
        </is>
      </c>
      <c r="C28" s="98" t="n"/>
      <c r="D28" s="98" t="n"/>
      <c r="E28" s="97" t="n"/>
      <c r="F28" s="50" t="n"/>
      <c r="G28" s="1" t="n"/>
      <c r="H28" s="1" t="n"/>
      <c r="I28" s="1" t="inlineStr">
        <is>
          <t>لا يوجد</t>
        </is>
      </c>
      <c r="J28" s="1" t="n"/>
      <c r="K28" s="1" t="n"/>
      <c r="L28" s="1" t="n"/>
      <c r="M28" s="1" t="n"/>
      <c r="N28" s="1" t="n"/>
      <c r="O28" s="1" t="n"/>
      <c r="P28" s="1" t="n"/>
      <c r="Q28" s="1" t="n"/>
      <c r="R28" s="1" t="n"/>
      <c r="S28" s="1" t="inlineStr">
        <is>
          <t xml:space="preserve">الجولات لم تتم </t>
        </is>
      </c>
      <c r="T28" s="51" t="inlineStr">
        <is>
          <t>1- فاعلية الجولات: تم التواصل مع الشيخ مجدي وهو مستعد للفاعلية وينتظر رد منا بموعدها وتجهيز الشباب المستهدف للنزول
2- تم تكليف يوسف محمد بجمع أسماء الشباب المستهدف للنزول من مسؤول لجنة الشباب
3- تم الاتفاق والتجهيز لزيارة الحي وتمت طباعة درع التكريم وسيتم شراء علبة شوكولاتة كهدية لرئيس الحي.
تم تحديد الاثنين 20 ابريل كموعد للزيارة يشترك فيها جميع أعضاء اللجنة.</t>
        </is>
      </c>
      <c r="U28" s="51" t="inlineStr">
        <is>
          <t>مناقشة تنسيق فاعلية  "الهشاشة النفسية والانتحار"
1- تفاصيل الفاعلية
الموضوع: الهشاشة النفسية والانتحار.
الموعد المقرر: يوم الجمعة الموافق 8 مايو.
المُحاضر: دكتور/ عمرو الزواوي.
2- مكان الإنعقاد (الخطة أ)
الموقع: قاعة المدينة السكنية - مساكن اسكو.
التحديد: القاعة الخاصة بمسجد المدينة السكنية.
3-  الإجراءات الإدارية والتنسيقية
التواصل الأمني: سيتم التواصل مع الشيخ أسامة عرفة للتنسيق ومعرفة موقف الأمن بشأن إقامة الفاعلية في القاعة المحددة.
4-  الخطة البديلة (الخطة ب)
في حال عدم الحصول على الموافقة الأمنية للمكان الأول، تقرر نقل الفاعلية لتقام داخل الدار ببهتيم.</t>
        </is>
      </c>
      <c r="V28" s="51" t="inlineStr">
        <is>
          <t>1 فاعلية الهشاشة النفسية 
*متوقفة علي رد الشيخ اسامه</t>
        </is>
      </c>
      <c r="W28" s="51" t="inlineStr">
        <is>
          <t xml:space="preserve">تنظيم فاعلية محاضرة "الهشاشة النفسية"
*أولًا: تنظيم الحضور
- الشباب الجديد داخل القاعة  
- الشباب القديم في الطرقة والغرفة الأخرى  
---
* ثانيًا: التجهيزات
- 4 باكيت عصير أصلان  
- 100 قطعة باتيه  
ترتيب الكراسي والنظافة (الحضور بعد الصلاة من المنظمين (يوسف - طاهر - آدم - سعيد)
---
* ثالثًا: المسؤوليات
- يوسف: مشرف التنظيم  
- مشرفين الفاعلية والتنظيم: (ادم - سعيد – طاهر – محمد إيهاب)  
- محيي: مسؤول مرافقة الشيخ المحاضر  
- أحمد حمادة: تقديم الشيخ للحضور.
- محمد محيي: التصوير والتوثيق + طباعة 75 ورقة تقييم   
- طاهر وآدم: توزيع الضيافة  
---
* رابعًا: النشر والدعوة
- مشاركة البوستات واجب على كل أعضاء اللجنة   على مدار اليومن القادمين.
---
* خامسًا: التأكيد على الحضور
- إرسال رسالة تأكيد يوم الجمعة قبل الصلاة  
- أو مكالمة بعد الصلاة مباشرة   لكل من أكد الحضور.
---
* سادسًا: المتابعة بعد الفاعلية
- توزيع أوراق التقييم (75 نسخة)  
- متابعة الحضور والتواصل معهم بعد الفاعلية  </t>
        </is>
      </c>
      <c r="X28" s="51" t="inlineStr">
        <is>
          <t xml:space="preserve">*الجولات الدعوية
- تخصيص 3 افراد من كل قطاع لنزول جولة في اول ايام ذي الحجه
-تواصل مع قطاع الشابوري 
@سعيد ربيع
- تواصل مع قطاع بيجام 
@محمد محي
- تواصل مع قطاع الشابوري  ومسطرد
محمد ايهاب
- تواصل مع قطاع بهتيم 
@احمد طاهر
- اخر ميعاد للنزول يوم الأربع
- الكلمة عن يوم عرفة 
وفضل عشر ذي الحجه
* فاعلية الأسعافات الأولية
- التواصل مع ممرضة لألقاء الفاعلية
@أحمد طاهر
-تحديد مواضيع الفاعلية 
@محمد محي
-التواصل مع حسن يوسف لتحدي المعاد
@محمد ايهاب
</t>
        </is>
      </c>
      <c r="Y28" s="1" t="inlineStr">
        <is>
          <t>لا يوجد مقترحات قديمة</t>
        </is>
      </c>
      <c r="Z28" s="1" t="n"/>
      <c r="AA28" s="1" t="inlineStr">
        <is>
          <t>لا يوجد مقترحات قديمة</t>
        </is>
      </c>
      <c r="AB28" s="51" t="inlineStr">
        <is>
          <t xml:space="preserve">1- كورسات ودورات تعليمية وتدريبية @محي:
تم الاتفاق مع مدرس اللغة الإنجليزية عى موعد المحاضرات على أن تكون يوم الأربعاء من كل اسبوع الساعة الثامنةمساء (بداية من الأربعاء 24 يونيو)
المستهدف: الشباب
المحاضر: استاذ علاء أبو الدهب
المحتوى: تأسيس في اللغة الإنجليزية
1-  عمل بوستر للكورس @محي
2- آلية الحشد:  أ- حشد مجموعات الشباب
ب- إعلان ممول
ج- عمل فورم @محمد إيهاب
------------------------------------------------------------
2- تثقيف شباب الدعوة السياسي
</t>
        </is>
      </c>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c r="BF28" s="1" t="n"/>
      <c r="BG28" s="1" t="n"/>
    </row>
    <row r="29" ht="409.5" customHeight="1">
      <c r="B29" s="84" t="inlineStr">
        <is>
          <t>مناقشة الإقتراحات الجديدة 10د</t>
        </is>
      </c>
      <c r="C29" s="98" t="n"/>
      <c r="D29" s="98" t="n"/>
      <c r="E29" s="97" t="n"/>
      <c r="F29" s="50" t="n"/>
      <c r="G29" s="1" t="n"/>
      <c r="H29" s="1" t="n"/>
      <c r="I29" s="51" t="inlineStr">
        <is>
          <t xml:space="preserve">تصور ٨ جولات شهر شعبان 
فتم عمل جروب مع القطاعات وتحديد مواعدهم
تصور زيارة الحي شرق وغرب ومجلس المدينة ونقابة المحامين 
هتكون الاثنين اللي بعد اللي جاي معه الشيخ أسامة ومحمود خير الله الساعة ١١ صباحا  </t>
        </is>
      </c>
      <c r="J29" s="1" t="n"/>
      <c r="K29" s="1" t="n"/>
      <c r="L29" s="1" t="n"/>
      <c r="M29" s="1" t="n"/>
      <c r="N29" s="1" t="n"/>
      <c r="O29" s="1" t="n"/>
      <c r="P29" s="1" t="n"/>
      <c r="Q29" s="1" t="n"/>
      <c r="R29" s="1" t="n"/>
      <c r="S29" s="51" t="inlineStr">
        <is>
          <t xml:space="preserve">الزيارة ١٩ ابريل حي شرق شبرا الخيمة احمد حمادة الدرع ويوسف محمد علبة الشيكولاته                                 ٢. انشاء فاعلية لكل العاملين في القطاعات لمن ينزل الجولات.                        تكليف محمد ايهاب يكلم ش مجدي لعمل فاعلية الجولات.   واحمد طاهر يتواصل مع مسطرد وبهتيم لابلاغهم من سينزل الجولات   العدد والاسماء ١٠ من القطاع     ومحمد محيي بيجام.  وادم المرسي الشابوري.  ويوسف الوحدة                           </t>
        </is>
      </c>
      <c r="T29" s="51" t="inlineStr">
        <is>
          <t>1. مشروع اللجنة الإعلامية للحزب
تم اعتماد إنشاء اللجنة الإعلامية وتحديد مهامها وهيكلها التنظيمي لتعزيز الحضور الرقمي للحزب وإدارة صورته الذهنية.
الهيكل الإداري والفني:
مسؤول اللجنة: أ/ محمد محي.
فريق التصميم (Designers): (محمد محي - أمجد أشرف).
فريق المونتاج (Video Editors): (عبد الرحمن أسامة - حسين إبراهيم).
المنصات المستهدفة بالإدارة:
صفحة الحزب الرسمية: وتختص بنشر أخبار الحزب والمجلس، الفعاليات الميدانية، التواصل المجتمعي، بالإضافة إلى وحدة الرد الرقمي (تفنيد الشائعات وتصحيح المعلومات المغلوطة).
صفحات الأكاديميات (عدد 2): وتختص بنشر المحتوى التثقيفي، المعلومات العلمية، والمحتوى الديني.
2. فعالية التوعية (الهشاشة النفسية والانتحار)
بناءً على التنسيقات الجارية، تم إقرار تفاصيل الندوة التوعوية وفق المعطيات التالية:
التنسيق:
الموقف الأمني: تم التواصل مع الشيخ أسامة عرفة، وأفاد بالموافقة على إقامة الفعالية في الموقع المختار.
المحاضر: سيتم التواصل مع الشيخ عمرو الزواوي لتقديم المادة العلمية والشرعية للفعالية.
المقر: قاعة مناسبات مساكن إسكو (مسجد المدينة السكنية) - جارٍ إبلاغ صاحب القاعة بالتفاصيل النهائية.
التوقيت الزمني:
اليوم: الجمعة.
التاريخ: 1 مايو (بمناسبة إجازة عيد العمال).</t>
        </is>
      </c>
      <c r="U29" s="51" t="inlineStr">
        <is>
          <t>1. فاعلية للنساء (الثقافة الاسرية) - أحمد حمادة
2. تربح عن طريق دورات وفاعليات - محي
* نفكر نستغل الناس اللي عندها مهارات في بعض المجالات ونعمل ليهم دعايا وتكون بأجر رمزي
- موافين ولكن بدون أجر</t>
        </is>
      </c>
      <c r="V29" s="51" t="n"/>
      <c r="W29" s="1" t="n"/>
      <c r="X29" s="51" t="inlineStr">
        <is>
          <t xml:space="preserve">*تنسيق وتفعيل اللجنة الإعلامية:
أولاً: الهيكل التنظيمي والمهام الواضحة
1. المستشار الفني (صمام الأمان):
مراجعة المحتوى من الناحية الشرعية، السياسية، والأمنية.
التأكد من مطابقة المنشورات لمبادئ حزب النور وتوجهاته الرسمية.
تقدير المصالح والمفاسد في النشر (هل التوقيت مناسب؟ هل يخدم الحزب أم يفتح باباً للأزمات؟).
2. مسؤول الصفحة والنشر (الدينامو):
صياغة النصوص وتجهيز "المسودات".
التنسيق الإجباري مع المستشار الفني (لا نشر بدون موافقة).
جدولة المنشورات، الرد على الرسائل والتعليقات بوعي، ومتابعة تفاعل الجمهور.
3. مصمم الجرافيك (الهوية البصرية):
تحويل الأفكار والنصوص المعتمدة إلى تصاميم بصرية (صور، إنفوجرافيك، شعارات).
توحيد الهوية البصرية لصفحة الحزب بشبرا الخيمة (ألوان ثابتة، خطوط واضحة، لوجو الحزب).
ثانياً: دورة حياة المنشور (آلية العمل اليومية)
لضمان عدم حدوث أي خطأ أمني أو فكري، يسير العمل وفق الخطوات المتتالية التالية:
[مسؤول الصفحة: يكتب المسودة] ◄ [المستشار الفني: يراجع ويدقق] ◄ [المصمم: يصمم الصورة] ◄ [المسؤول: ينشر ويتابع]
الرصد والطلب: يقوم مسؤول الصفحة برصد خبر أو فكرة (أو يتلقى طلباً من لجنة أخرى).
الاستشارة الإلزامية (الضوء الأخضر): يُعرض النص على المستشار الفني عبر جروب "واتساب" مغلق مخصص للتنفيذ. يقوم الفني بـ:
التأكد من صحة ودقة المعلومات.
تقدير الموقف الأمني والسياسي للمنشور.
التعديل أو الحذف أو الموافقة.
التصميم: بعد موافقة الفني، يُحيل مسؤول الصفحة النص إلى المصمم مع تحديد الفكرة المطلوبة (مثلاً: صورة اقتباس، بوستر لفعالية).
المراجعة النهائية والنشر: يرى المستشار الفني التصميم النهائي مع النص، فإذا تم اعتماده، يقوم مسؤول الصفحة بنشره فوراً أو جدولته.
ثالثاً: مصادر تلقي الأخبار والمحتوى
لضمان دقة الأخبار وعدم الوقوع في فخ "الشائعات" أو النقل عن منصات معادية، تحدد المصادر كالآتي:
المصادر الرسمية للحزب: البيانات الصادرة عن الصفحة الرسمية لحزب النور (المركزية)، موقع الفتح، وتصريحات قيادات الحزب المعتمدة.
المصادر الميدانية الداخلية: تقارير ومخرجات أمانة الحزب بشبرا الخيمة، واللجان النوعية التابعة لها (صور الفعاليات، القرارات الداخلية).
المصادر الرسمية للدولة: البيانات الصادرة عن الوزارات، المحافظة، ومجلس المدينة (خاصة الأخبار الخدمية التي تهم المواطن في شبرا الخيمة مثل: خطط التطوير، انقطاع المياه، القوافل الطبية).
رابعاً: آلية خدمة اللجان الأخرى بالحزب
اللجنة الإعلامية هي "المرآة" التي تظهر مجهود باقي اللجان. يتم التعامل مع اللجان الأخرى (الشباب، العلمية، الطلائع، الاجتماعية) كالتالي:
نظام "طلب التغطية الإعلامية": تقوم أي لجنة (كالشباب مثلاً) بإبلاغ مسؤول الصفحة قبل فعاليتها بـ 48 ساعة على الأقل بتقرير مكتوب يشمل (عنوان الفعالية، الأهداف، التوقيت، والمستهدفين).
اللجنة العلمية: يتم التعاون معها لإنتاج محتوى دوري (فتاوى ميسرة، تأصيل شرعي لمواقف معينة، نصائح تربوية) يقوم بصياغتها اللجنة العلمية، ويراجعها المستشار الفني إعلامياً، ويصممها المصمم.
لجنة الطلائع والشباب: إبراز أنشطتهم (مسابقات، دوريات رياضية، رحلات) لجذب هذه الفئات لصفحة الحزب، مع التركيز على الرسائل الإيجابية والبعد عن أي مظاهر قد تُفهم بشكل خاطئ.
لجنة الخدمات واللجنة الاجتماعية: نشر قوافل الخير، صكوك الإطعام، أو جهود نواب الحزب (إن وجدوا) في حل مشاكل شبرا الخيمة لتعزيز التواجد الشعبي.
خامساً: الاجتماع الدوري (كل أسبوعين)
يُعقد اجتماع نصف شهري (يمكن أن يكون حضورياً أو عبر تطبيق Zoom/Google Meet) وأجندته ثابتة:
تقييم الأداء الأسبوعي: مراجعة إحصائيات الصفحة (تفاعل الجمهور، المنشورات الأكثر نجاحاً، والردود على الرسائل).
مراجعة الأخطاء: مناقشة أي منشور أثار جدلاً أو تضمن صياغة غير دقيقة لتفاديها مستقبلاً.
وضع "الخطة النصف شهرية القادمة": تحديد الموضوعات الرئيسية التي سيتم التركيز عليها (مثلاً: حملة عن الأخلاق، تغطية امتحانات الطلاب، مواكبة مناسبة إسلامية معينة).
استضافة ممثل عن لجنة أخرى: يُدعى للاجتماع (في نصفه الثاني) رئيس لجنة أخرى (كالطلائع مثلاً) للتنسيق لخطتهم الإعلامية القادمة. 
- </t>
        </is>
      </c>
      <c r="Y29" s="51" t="inlineStr">
        <is>
          <t>كورس انجليزي @أحمد حمادة
دورة اكسيل @أحمد حمادة
دورة ادارة اعمال @أحمد حمادة
صالون الثقافي  @ محمد ايهاب 
هيكلة وتفعيل اللجنة الإعلامية @محمد ايهاب
دوري بلاستيشن @ احمد طاهر
تفاصيل مناقشة مقترح دوري البلايستيشن:
_حشد المميزين من ينابيع وبصائر عددهم 16 فرد
على أن يحضر كل شاب منهم شابا آخر من خارج نطاق الدعوة
_ حجز اربعة اجهزة بلايستيشن وشاشتين 
@احمد طاهر 
- الموعد رابع يوم العيد
- عمل تصميم خاص بالدورة 
@محمد محي
- ارسال فاعلية الدورة للشباب 
@محمد محي
-بداية الموعد من السادسة عصرا 
- وضع لائحة الدورة والضيافة
@محمد ايهاب
-الجوائز
تيشرتين كره
@احمد حماده 
- التواص مع قطاع مسطرد لحضورهم
@احمد حماده</t>
        </is>
      </c>
      <c r="Z29" s="1" t="n"/>
      <c r="AA29" s="51" t="inlineStr">
        <is>
          <t xml:space="preserve">1- كورسات ودورات تعليمية وتدريبية @محي
2- تثقيف شباب الدعوة السياسي
</t>
        </is>
      </c>
      <c r="AB29" s="51" t="inlineStr">
        <is>
          <t>1- كورسات ودورات تعليمية وتدريبية @محي و أحمد حمادة:
تم الاتفاق مع مدرس اللغة الإنجليزية عى موعد المحاضرات على أن تكون يوم الأربعاء من كل اسبوع الساعة الثامنةمساء (بداية من الأربعاء 24 يونيو)
المستهدف: الشباب
المحاضر: استاذ علاء أبو الدهب
المحتوى: تأسيس في اللغة الإنجليزية
1-  عمل بوستر للكورس @محي
2- آلية الحشد:  أ- حشد مجموعات الشباب
ب- إعلان ممول
ج- عمل فورم @محمد إيهاب
------------------------------------------------------------------------
2- تثقيف شباب الدعوة السياسي. @ محمد إيهاب
3- ملتقى صيفي في مكان عام (التخطيط للمستقبل والاستعداد لسوق العمل) @ محي</t>
        </is>
      </c>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c r="BF29" s="1" t="n"/>
      <c r="BG29" s="1" t="n"/>
    </row>
    <row r="30">
      <c r="A30" t="inlineStr">
        <is>
          <t>الأسبوع الأول /  ربيع الثاني - 1448</t>
        </is>
      </c>
      <c r="B30" t="inlineStr">
        <is>
          <t>الكلمة الإفتتاحية</t>
        </is>
      </c>
      <c r="C30" t="inlineStr">
        <is>
          <t>تم</t>
        </is>
      </c>
      <c r="D30" t="inlineStr"/>
    </row>
    <row r="31">
      <c r="A31" t="inlineStr">
        <is>
          <t>الأسبوع الأول /  ربيع الثاني - 1448</t>
        </is>
      </c>
      <c r="B31" t="inlineStr">
        <is>
          <t>التفقد العلمي</t>
        </is>
      </c>
      <c r="C31" t="inlineStr">
        <is>
          <t>لم يتم</t>
        </is>
      </c>
      <c r="D31" t="inlineStr"/>
    </row>
    <row r="32">
      <c r="A32" t="inlineStr">
        <is>
          <t>الأسبوع الأول /  ربيع الثاني - 1448</t>
        </is>
      </c>
      <c r="B32" t="inlineStr">
        <is>
          <t>تسجيل الإقتراحات</t>
        </is>
      </c>
      <c r="C32" t="inlineStr">
        <is>
          <t>لم يتم</t>
        </is>
      </c>
      <c r="D32" t="inlineStr"/>
    </row>
    <row r="33">
      <c r="A33" t="inlineStr">
        <is>
          <t>الأسبوع الأول /  ربيع الثاني - 1448</t>
        </is>
      </c>
      <c r="B33" t="inlineStr">
        <is>
          <t>متابعة التكليفات</t>
        </is>
      </c>
      <c r="C33" t="inlineStr">
        <is>
          <t>تم</t>
        </is>
      </c>
      <c r="D33" t="inlineStr"/>
    </row>
    <row r="34">
      <c r="A34" t="inlineStr">
        <is>
          <t>الأسبوع الأول /  ربيع الثاني - 1448</t>
        </is>
      </c>
      <c r="B34" t="inlineStr">
        <is>
          <t>الخطة</t>
        </is>
      </c>
      <c r="C34" t="inlineStr">
        <is>
          <t>تم</t>
        </is>
      </c>
      <c r="D34" t="inlineStr">
        <is>
          <t>يسيشسبيسب</t>
        </is>
      </c>
    </row>
    <row r="35">
      <c r="A35" t="inlineStr">
        <is>
          <t>الأسبوع الأول /  ربيع الثاني - 1448</t>
        </is>
      </c>
      <c r="B35" t="inlineStr">
        <is>
          <t>متابعة شغل الأرض</t>
        </is>
      </c>
      <c r="C35" t="inlineStr">
        <is>
          <t>تم</t>
        </is>
      </c>
      <c r="D35" t="inlineStr">
        <is>
          <t>يسبسيبسيب</t>
        </is>
      </c>
    </row>
    <row r="36">
      <c r="A36" t="inlineStr">
        <is>
          <t>الأسبوع الأول /  ربيع الثاني - 1448</t>
        </is>
      </c>
      <c r="B36" t="inlineStr">
        <is>
          <t>أنشطة مجتمعية</t>
        </is>
      </c>
      <c r="C36" t="inlineStr">
        <is>
          <t>تم</t>
        </is>
      </c>
      <c r="D36" t="inlineStr"/>
    </row>
    <row r="37">
      <c r="A37" t="inlineStr">
        <is>
          <t>الأسبوع الأول /  ربيع الثاني - 1448</t>
        </is>
      </c>
      <c r="B37" t="inlineStr">
        <is>
          <t>اقتراحات قديمة</t>
        </is>
      </c>
      <c r="C37" t="inlineStr">
        <is>
          <t>تم</t>
        </is>
      </c>
      <c r="D37" t="inlineStr"/>
    </row>
    <row r="38">
      <c r="A38" t="inlineStr">
        <is>
          <t>الأسبوع الأول /  ربيع الثاني - 1448</t>
        </is>
      </c>
      <c r="B38" t="inlineStr">
        <is>
          <t>اقتراحات جديدة</t>
        </is>
      </c>
      <c r="C38" t="inlineStr">
        <is>
          <t>تم</t>
        </is>
      </c>
      <c r="D38" t="inlineStr"/>
    </row>
  </sheetData>
  <mergeCells count="20">
    <mergeCell ref="D20:E20"/>
    <mergeCell ref="B11:D11"/>
    <mergeCell ref="D19:E19"/>
    <mergeCell ref="B15:E15"/>
    <mergeCell ref="D22:E22"/>
    <mergeCell ref="B24:E24"/>
    <mergeCell ref="D21:E21"/>
    <mergeCell ref="B2:C2"/>
    <mergeCell ref="B16:E16"/>
    <mergeCell ref="B12:E12"/>
    <mergeCell ref="B25:D25"/>
    <mergeCell ref="B14:E14"/>
    <mergeCell ref="B17:E17"/>
    <mergeCell ref="B3:D3"/>
    <mergeCell ref="B19:C23"/>
    <mergeCell ref="B13:E13"/>
    <mergeCell ref="D23:E23"/>
    <mergeCell ref="B29:E29"/>
    <mergeCell ref="B18:D18"/>
    <mergeCell ref="B28:E28"/>
  </mergeCells>
  <conditionalFormatting sqref="D4:D10">
    <cfRule type="colorScale" priority="398">
      <colorScale>
        <cfvo type="min"/>
        <cfvo type="max"/>
        <color rgb="FF63BE7B"/>
        <color rgb="FFFCFCFF"/>
      </colorScale>
    </cfRule>
    <cfRule type="colorScale" priority="399">
      <colorScale>
        <cfvo type="min"/>
        <cfvo type="percentile" val="50"/>
        <cfvo type="max"/>
        <color rgb="FF63BE7B"/>
        <color rgb="FFFFEB84"/>
        <color rgb="FFF8696B"/>
      </colorScale>
    </cfRule>
  </conditionalFormatting>
  <conditionalFormatting sqref="E3:E10">
    <cfRule type="colorScale" priority="402">
      <colorScale>
        <cfvo type="min"/>
        <cfvo type="max"/>
        <color rgb="FFFCFCFF"/>
        <color rgb="FF63BE7B"/>
      </colorScale>
    </cfRule>
    <cfRule type="colorScale" priority="403">
      <colorScale>
        <cfvo type="min"/>
        <cfvo type="percentile" val="50"/>
        <cfvo type="max"/>
        <color rgb="FFF8696B"/>
        <color rgb="FFFFEB84"/>
        <color rgb="FF63BE7B"/>
      </colorScale>
    </cfRule>
  </conditionalFormatting>
  <conditionalFormatting sqref="F3:F10">
    <cfRule type="colorScale" priority="406">
      <colorScale>
        <cfvo type="min"/>
        <cfvo type="max"/>
        <color rgb="FFFCFCFF"/>
        <color rgb="FF63BE7B"/>
      </colorScale>
    </cfRule>
  </conditionalFormatting>
  <conditionalFormatting sqref="F4:F10">
    <cfRule type="colorScale" priority="408">
      <colorScale>
        <cfvo type="min"/>
        <cfvo type="percentile" val="50"/>
        <cfvo type="max"/>
        <color rgb="FFF8696B"/>
        <color rgb="FFFFEB84"/>
        <color rgb="FF63BE7B"/>
      </colorScale>
    </cfRule>
  </conditionalFormatting>
  <conditionalFormatting sqref="G4:G7">
    <cfRule type="colorScale" priority="323">
      <colorScale>
        <cfvo type="min"/>
        <cfvo type="percentile" val="50"/>
        <cfvo type="max"/>
        <color rgb="FF63BE7B"/>
        <color rgb="FFFFEB84"/>
        <color rgb="FFF8696B"/>
      </colorScale>
    </cfRule>
    <cfRule type="colorScale" priority="324">
      <colorScale>
        <cfvo type="min"/>
        <cfvo type="max"/>
        <color rgb="FF63BE7B"/>
        <color rgb="FFFCFCFF"/>
      </colorScale>
    </cfRule>
  </conditionalFormatting>
  <conditionalFormatting sqref="G4:G10 G9:I9">
    <cfRule type="cellIs" priority="410" operator="equal" dxfId="3">
      <formula>"لم تتم"</formula>
    </cfRule>
    <cfRule type="colorScale" priority="411">
      <colorScale>
        <cfvo type="min"/>
        <cfvo type="max"/>
        <color rgb="FF63BE7B"/>
        <color rgb="FFFCFCFF"/>
      </colorScale>
    </cfRule>
  </conditionalFormatting>
  <conditionalFormatting sqref="G8:G9 G9:I9">
    <cfRule type="colorScale" priority="333">
      <colorScale>
        <cfvo type="min"/>
        <cfvo type="max"/>
        <color rgb="FF63BE7B"/>
        <color rgb="FFFCFCFF"/>
      </colorScale>
    </cfRule>
    <cfRule type="colorScale" priority="332">
      <colorScale>
        <cfvo type="min"/>
        <cfvo type="percentile" val="50"/>
        <cfvo type="max"/>
        <color rgb="FF63BE7B"/>
        <color rgb="FFFFEB84"/>
        <color rgb="FFF8696B"/>
      </colorScale>
    </cfRule>
  </conditionalFormatting>
  <conditionalFormatting sqref="G8:G10">
    <cfRule type="colorScale" priority="185">
      <colorScale>
        <cfvo type="min"/>
        <cfvo type="percentile" val="50"/>
        <cfvo type="max"/>
        <color rgb="FF63BE7B"/>
        <color rgb="FFFFEB84"/>
        <color rgb="FFF8696B"/>
      </colorScale>
    </cfRule>
    <cfRule type="cellIs" priority="186" operator="equal" dxfId="3">
      <formula>"لم تتم"</formula>
    </cfRule>
    <cfRule type="colorScale" priority="187">
      <colorScale>
        <cfvo type="min"/>
        <cfvo type="max"/>
        <color rgb="FF63BE7B"/>
        <color rgb="FFFCFCFF"/>
      </colorScale>
    </cfRule>
    <cfRule type="cellIs" priority="182" operator="equal" dxfId="3">
      <formula>"لم تتم"</formula>
    </cfRule>
    <cfRule type="colorScale" priority="181">
      <colorScale>
        <cfvo type="min"/>
        <cfvo type="percentile" val="50"/>
        <cfvo type="max"/>
        <color rgb="FF63BE7B"/>
        <color rgb="FFFFEB84"/>
        <color rgb="FFF8696B"/>
      </colorScale>
    </cfRule>
    <cfRule type="colorScale" priority="184">
      <colorScale>
        <cfvo type="min"/>
        <cfvo type="max"/>
        <color rgb="FF63BE7B"/>
        <color rgb="FFFCFCFF"/>
      </colorScale>
    </cfRule>
    <cfRule type="colorScale" priority="183">
      <colorScale>
        <cfvo type="min"/>
        <cfvo type="percentile" val="50"/>
        <cfvo type="max"/>
        <color rgb="FF63BE7B"/>
        <color rgb="FFFFEB84"/>
        <color rgb="FFF8696B"/>
      </colorScale>
    </cfRule>
    <cfRule type="cellIs" priority="176" operator="equal" dxfId="3">
      <formula>"لم تتم"</formula>
    </cfRule>
    <cfRule type="colorScale" priority="177">
      <colorScale>
        <cfvo type="min"/>
        <cfvo type="percentile" val="50"/>
        <cfvo type="max"/>
        <color rgb="FF63BE7B"/>
        <color rgb="FFFFEB84"/>
        <color rgb="FFF8696B"/>
      </colorScale>
    </cfRule>
    <cfRule type="cellIs" priority="178" operator="equal" dxfId="3">
      <formula>"لم تتم"</formula>
    </cfRule>
    <cfRule type="colorScale" priority="179">
      <colorScale>
        <cfvo type="min"/>
        <cfvo type="percentile" val="50"/>
        <cfvo type="max"/>
        <color rgb="FF63BE7B"/>
        <color rgb="FFFFEB84"/>
        <color rgb="FFF8696B"/>
      </colorScale>
    </cfRule>
    <cfRule type="cellIs" priority="180" operator="equal" dxfId="3">
      <formula>"لم تتم"</formula>
    </cfRule>
  </conditionalFormatting>
  <conditionalFormatting sqref="G10">
    <cfRule type="colorScale" priority="318">
      <colorScale>
        <cfvo type="min"/>
        <cfvo type="max"/>
        <color rgb="FF63BE7B"/>
        <color rgb="FFFCFCFF"/>
      </colorScale>
    </cfRule>
    <cfRule type="colorScale" priority="317">
      <colorScale>
        <cfvo type="min"/>
        <cfvo type="percentile" val="50"/>
        <cfvo type="max"/>
        <color rgb="FF63BE7B"/>
        <color rgb="FFFFEB84"/>
        <color rgb="FFF8696B"/>
      </colorScale>
    </cfRule>
  </conditionalFormatting>
  <conditionalFormatting sqref="G4:H4">
    <cfRule type="cellIs" priority="93" operator="equal" dxfId="3">
      <formula>"لم تتم"</formula>
    </cfRule>
    <cfRule type="cellIs" priority="97" operator="equal" dxfId="3">
      <formula>"لم تتم"</formula>
    </cfRule>
    <cfRule type="colorScale" priority="96">
      <colorScale>
        <cfvo type="min"/>
        <cfvo type="percentile" val="50"/>
        <cfvo type="max"/>
        <color rgb="FF63BE7B"/>
        <color rgb="FFFFEB84"/>
        <color rgb="FFF8696B"/>
      </colorScale>
    </cfRule>
    <cfRule type="cellIs" priority="91" operator="equal" dxfId="3">
      <formula>"لم تتم"</formula>
    </cfRule>
    <cfRule type="colorScale" priority="95">
      <colorScale>
        <cfvo type="min"/>
        <cfvo type="max"/>
        <color rgb="FF63BE7B"/>
        <color rgb="FFFCFCFF"/>
      </colorScale>
    </cfRule>
    <cfRule type="colorScale" priority="92">
      <colorScale>
        <cfvo type="min"/>
        <cfvo type="percentile" val="50"/>
        <cfvo type="max"/>
        <color rgb="FF63BE7B"/>
        <color rgb="FFFFEB84"/>
        <color rgb="FFF8696B"/>
      </colorScale>
    </cfRule>
    <cfRule type="colorScale" priority="88">
      <colorScale>
        <cfvo type="min"/>
        <cfvo type="percentile" val="50"/>
        <cfvo type="max"/>
        <color rgb="FF63BE7B"/>
        <color rgb="FFFFEB84"/>
        <color rgb="FFF8696B"/>
      </colorScale>
    </cfRule>
    <cfRule type="colorScale" priority="90">
      <colorScale>
        <cfvo type="min"/>
        <cfvo type="percentile" val="50"/>
        <cfvo type="max"/>
        <color rgb="FF63BE7B"/>
        <color rgb="FFFFEB84"/>
        <color rgb="FFF8696B"/>
      </colorScale>
    </cfRule>
    <cfRule type="cellIs" priority="87" operator="equal" dxfId="3">
      <formula>"لم تتم"</formula>
    </cfRule>
    <cfRule type="colorScale" priority="86">
      <colorScale>
        <cfvo type="min"/>
        <cfvo type="max"/>
        <color rgb="FF63BE7B"/>
        <color rgb="FFFCFCFF"/>
      </colorScale>
    </cfRule>
    <cfRule type="cellIs" priority="85" operator="equal" dxfId="3">
      <formula>"لم تتم"</formula>
    </cfRule>
    <cfRule type="cellIs" priority="89" operator="equal" dxfId="3">
      <formula>"لم تتم"</formula>
    </cfRule>
    <cfRule type="colorScale" priority="84">
      <colorScale>
        <cfvo type="min"/>
        <cfvo type="max"/>
        <color rgb="FF63BE7B"/>
        <color rgb="FFFCFCFF"/>
      </colorScale>
    </cfRule>
    <cfRule type="colorScale" priority="83">
      <colorScale>
        <cfvo type="min"/>
        <cfvo type="percentile" val="50"/>
        <cfvo type="max"/>
        <color rgb="FF63BE7B"/>
        <color rgb="FFFFEB84"/>
        <color rgb="FFF8696B"/>
      </colorScale>
    </cfRule>
    <cfRule type="colorScale" priority="94">
      <colorScale>
        <cfvo type="min"/>
        <cfvo type="percentile" val="50"/>
        <cfvo type="max"/>
        <color rgb="FF63BE7B"/>
        <color rgb="FFFFEB84"/>
        <color rgb="FFF8696B"/>
      </colorScale>
    </cfRule>
    <cfRule type="colorScale" priority="82">
      <colorScale>
        <cfvo type="min"/>
        <cfvo type="max"/>
        <color rgb="FF63BE7B"/>
        <color rgb="FFFCFCFF"/>
      </colorScale>
    </cfRule>
    <cfRule type="colorScale" priority="81">
      <colorScale>
        <cfvo type="min"/>
        <cfvo type="percentile" val="50"/>
        <cfvo type="max"/>
        <color rgb="FF63BE7B"/>
        <color rgb="FFFFEB84"/>
        <color rgb="FFF8696B"/>
      </colorScale>
    </cfRule>
    <cfRule type="colorScale" priority="98">
      <colorScale>
        <cfvo type="min"/>
        <cfvo type="max"/>
        <color rgb="FF63BE7B"/>
        <color rgb="FFFCFCFF"/>
      </colorScale>
    </cfRule>
  </conditionalFormatting>
  <conditionalFormatting sqref="G4:H7">
    <cfRule type="cellIs" priority="78" operator="equal" dxfId="3">
      <formula>"لم تتم"</formula>
    </cfRule>
  </conditionalFormatting>
  <conditionalFormatting sqref="G5:H7">
    <cfRule type="colorScale" priority="7">
      <colorScale>
        <cfvo type="min"/>
        <cfvo type="percentile" val="50"/>
        <cfvo type="max"/>
        <color rgb="FF63BE7B"/>
        <color rgb="FFFFEB84"/>
        <color rgb="FFF8696B"/>
      </colorScale>
    </cfRule>
    <cfRule type="colorScale" priority="8">
      <colorScale>
        <cfvo type="min"/>
        <cfvo type="max"/>
        <color rgb="FF63BE7B"/>
        <color rgb="FFFCFCFF"/>
      </colorScale>
    </cfRule>
    <cfRule type="cellIs" priority="9" operator="equal" dxfId="3">
      <formula>"لم تتم"</formula>
    </cfRule>
    <cfRule type="colorScale" priority="10">
      <colorScale>
        <cfvo type="min"/>
        <cfvo type="max"/>
        <color rgb="FF63BE7B"/>
        <color rgb="FFFCFCFF"/>
      </colorScale>
    </cfRule>
    <cfRule type="cellIs" priority="11" operator="equal" dxfId="3">
      <formula>"لم تتم"</formula>
    </cfRule>
    <cfRule type="colorScale" priority="12">
      <colorScale>
        <cfvo type="min"/>
        <cfvo type="percentile" val="50"/>
        <cfvo type="max"/>
        <color rgb="FF63BE7B"/>
        <color rgb="FFFFEB84"/>
        <color rgb="FFF8696B"/>
      </colorScale>
    </cfRule>
    <cfRule type="cellIs" priority="13" operator="equal" dxfId="3">
      <formula>"لم تتم"</formula>
    </cfRule>
    <cfRule type="colorScale" priority="14">
      <colorScale>
        <cfvo type="min"/>
        <cfvo type="percentile" val="50"/>
        <cfvo type="max"/>
        <color rgb="FF63BE7B"/>
        <color rgb="FFFFEB84"/>
        <color rgb="FFF8696B"/>
      </colorScale>
    </cfRule>
    <cfRule type="cellIs" priority="15" operator="equal" dxfId="3">
      <formula>"لم تتم"</formula>
    </cfRule>
    <cfRule type="colorScale" priority="16">
      <colorScale>
        <cfvo type="min"/>
        <cfvo type="percentile" val="50"/>
        <cfvo type="max"/>
        <color rgb="FF63BE7B"/>
        <color rgb="FFFFEB84"/>
        <color rgb="FFF8696B"/>
      </colorScale>
    </cfRule>
    <cfRule type="cellIs" priority="17" operator="equal" dxfId="3">
      <formula>"لم تتم"</formula>
    </cfRule>
    <cfRule type="colorScale" priority="18">
      <colorScale>
        <cfvo type="min"/>
        <cfvo type="percentile" val="50"/>
        <cfvo type="max"/>
        <color rgb="FF63BE7B"/>
        <color rgb="FFFFEB84"/>
        <color rgb="FFF8696B"/>
      </colorScale>
    </cfRule>
    <cfRule type="colorScale" priority="19">
      <colorScale>
        <cfvo type="min"/>
        <cfvo type="max"/>
        <color rgb="FF63BE7B"/>
        <color rgb="FFFCFCFF"/>
      </colorScale>
    </cfRule>
    <cfRule type="cellIs" priority="21" operator="equal" dxfId="3">
      <formula>"لم تتم"</formula>
    </cfRule>
    <cfRule type="colorScale" priority="22">
      <colorScale>
        <cfvo type="min"/>
        <cfvo type="max"/>
        <color rgb="FF63BE7B"/>
        <color rgb="FFFCFCFF"/>
      </colorScale>
    </cfRule>
    <cfRule type="colorScale" priority="5">
      <colorScale>
        <cfvo type="min"/>
        <cfvo type="percentile" val="50"/>
        <cfvo type="max"/>
        <color rgb="FF63BE7B"/>
        <color rgb="FFFFEB84"/>
        <color rgb="FFF8696B"/>
      </colorScale>
    </cfRule>
    <cfRule type="colorScale" priority="20">
      <colorScale>
        <cfvo type="min"/>
        <cfvo type="percentile" val="50"/>
        <cfvo type="max"/>
        <color rgb="FF63BE7B"/>
        <color rgb="FFFFEB84"/>
        <color rgb="FFF8696B"/>
      </colorScale>
    </cfRule>
    <cfRule type="colorScale" priority="6">
      <colorScale>
        <cfvo type="min"/>
        <cfvo type="max"/>
        <color rgb="FF63BE7B"/>
        <color rgb="FFFCFCFF"/>
      </colorScale>
    </cfRule>
  </conditionalFormatting>
  <conditionalFormatting sqref="G10:H10">
    <cfRule type="colorScale" priority="50">
      <colorScale>
        <cfvo type="min"/>
        <cfvo type="percentile" val="50"/>
        <cfvo type="max"/>
        <color rgb="FF63BE7B"/>
        <color rgb="FFFFEB84"/>
        <color rgb="FFF8696B"/>
      </colorScale>
    </cfRule>
    <cfRule type="cellIs" priority="66" operator="equal" dxfId="3">
      <formula>"لم تتم"</formula>
    </cfRule>
    <cfRule type="colorScale" priority="65">
      <colorScale>
        <cfvo type="min"/>
        <cfvo type="percentile" val="50"/>
        <cfvo type="max"/>
        <color rgb="FF63BE7B"/>
        <color rgb="FFFFEB84"/>
        <color rgb="FFF8696B"/>
      </colorScale>
    </cfRule>
    <cfRule type="colorScale" priority="63">
      <colorScale>
        <cfvo type="min"/>
        <cfvo type="percentile" val="50"/>
        <cfvo type="max"/>
        <color rgb="FF63BE7B"/>
        <color rgb="FFFFEB84"/>
        <color rgb="FFF8696B"/>
      </colorScale>
    </cfRule>
    <cfRule type="cellIs" priority="62" operator="equal" dxfId="3">
      <formula>"لم تتم"</formula>
    </cfRule>
    <cfRule type="colorScale" priority="61">
      <colorScale>
        <cfvo type="min"/>
        <cfvo type="percentile" val="50"/>
        <cfvo type="max"/>
        <color rgb="FF63BE7B"/>
        <color rgb="FFFFEB84"/>
        <color rgb="FFF8696B"/>
      </colorScale>
    </cfRule>
    <cfRule type="cellIs" priority="60" operator="equal" dxfId="3">
      <formula>"لم تتم"</formula>
    </cfRule>
    <cfRule type="colorScale" priority="59">
      <colorScale>
        <cfvo type="min"/>
        <cfvo type="percentile" val="50"/>
        <cfvo type="max"/>
        <color rgb="FF63BE7B"/>
        <color rgb="FFFFEB84"/>
        <color rgb="FFF8696B"/>
      </colorScale>
    </cfRule>
    <cfRule type="cellIs" priority="58" operator="equal" dxfId="3">
      <formula>"لم تتم"</formula>
    </cfRule>
    <cfRule type="colorScale" priority="57">
      <colorScale>
        <cfvo type="min"/>
        <cfvo type="percentile" val="50"/>
        <cfvo type="max"/>
        <color rgb="FF63BE7B"/>
        <color rgb="FFFFEB84"/>
        <color rgb="FFF8696B"/>
      </colorScale>
    </cfRule>
    <cfRule type="cellIs" priority="56" operator="equal" dxfId="3">
      <formula>"لم تتم"</formula>
    </cfRule>
    <cfRule type="colorScale" priority="55">
      <colorScale>
        <cfvo type="min"/>
        <cfvo type="max"/>
        <color rgb="FF63BE7B"/>
        <color rgb="FFFCFCFF"/>
      </colorScale>
    </cfRule>
    <cfRule type="colorScale" priority="64">
      <colorScale>
        <cfvo type="min"/>
        <cfvo type="max"/>
        <color rgb="FF63BE7B"/>
        <color rgb="FFFCFCFF"/>
      </colorScale>
    </cfRule>
    <cfRule type="cellIs" priority="54" operator="equal" dxfId="3">
      <formula>"لم تتم"</formula>
    </cfRule>
    <cfRule type="colorScale" priority="53">
      <colorScale>
        <cfvo type="min"/>
        <cfvo type="max"/>
        <color rgb="FF63BE7B"/>
        <color rgb="FFFCFCFF"/>
      </colorScale>
    </cfRule>
    <cfRule type="colorScale" priority="52">
      <colorScale>
        <cfvo type="min"/>
        <cfvo type="percentile" val="50"/>
        <cfvo type="max"/>
        <color rgb="FF63BE7B"/>
        <color rgb="FFFFEB84"/>
        <color rgb="FFF8696B"/>
      </colorScale>
    </cfRule>
    <cfRule type="colorScale" priority="51">
      <colorScale>
        <cfvo type="min"/>
        <cfvo type="max"/>
        <color rgb="FF63BE7B"/>
        <color rgb="FFFCFCFF"/>
      </colorScale>
    </cfRule>
    <cfRule type="cellIs" priority="49" operator="equal" dxfId="3">
      <formula>"لم تتم"</formula>
    </cfRule>
    <cfRule type="colorScale" priority="67">
      <colorScale>
        <cfvo type="min"/>
        <cfvo type="max"/>
        <color rgb="FF63BE7B"/>
        <color rgb="FFFCFCFF"/>
      </colorScale>
    </cfRule>
  </conditionalFormatting>
  <conditionalFormatting sqref="G8:K8">
    <cfRule type="colorScale" priority="114">
      <colorScale>
        <cfvo type="min"/>
        <cfvo type="max"/>
        <color rgb="FF63BE7B"/>
        <color rgb="FFFCFCFF"/>
      </colorScale>
    </cfRule>
  </conditionalFormatting>
  <conditionalFormatting sqref="G3:BG3">
    <cfRule type="colorScale" priority="394">
      <colorScale>
        <cfvo type="min"/>
        <cfvo type="percentile" val="50"/>
        <cfvo type="max"/>
        <color rgb="FF63BE7B"/>
        <color rgb="FFFFEB84"/>
        <color rgb="FFF8696B"/>
      </colorScale>
    </cfRule>
    <cfRule type="cellIs" priority="373" operator="equal" dxfId="3">
      <formula>"لم تتم"</formula>
    </cfRule>
  </conditionalFormatting>
  <conditionalFormatting sqref="G3:BG10">
    <cfRule type="cellIs" priority="375" operator="equal" dxfId="3" stopIfTrue="1">
      <formula>"غاب"</formula>
    </cfRule>
    <cfRule type="cellIs" priority="374" operator="equal" dxfId="4" stopIfTrue="1">
      <formula>"تمت"</formula>
    </cfRule>
  </conditionalFormatting>
  <conditionalFormatting sqref="H4:H7">
    <cfRule type="colorScale" priority="330">
      <colorScale>
        <cfvo type="min"/>
        <cfvo type="max"/>
        <color rgb="FF63BE7B"/>
        <color rgb="FFFCFCFF"/>
      </colorScale>
    </cfRule>
    <cfRule type="colorScale" priority="329">
      <colorScale>
        <cfvo type="min"/>
        <cfvo type="percentile" val="50"/>
        <cfvo type="max"/>
        <color rgb="FF63BE7B"/>
        <color rgb="FFFFEB84"/>
        <color rgb="FFF8696B"/>
      </colorScale>
    </cfRule>
  </conditionalFormatting>
  <conditionalFormatting sqref="H4:H10">
    <cfRule type="colorScale" priority="421">
      <colorScale>
        <cfvo type="min"/>
        <cfvo type="max"/>
        <color rgb="FF63BE7B"/>
        <color rgb="FFFCFCFF"/>
      </colorScale>
    </cfRule>
    <cfRule type="cellIs" priority="420" operator="equal" dxfId="3">
      <formula>"لم تتم"</formula>
    </cfRule>
  </conditionalFormatting>
  <conditionalFormatting sqref="H8:H9">
    <cfRule type="colorScale" priority="342">
      <colorScale>
        <cfvo type="min"/>
        <cfvo type="max"/>
        <color rgb="FF63BE7B"/>
        <color rgb="FFFCFCFF"/>
      </colorScale>
    </cfRule>
    <cfRule type="colorScale" priority="341">
      <colorScale>
        <cfvo type="min"/>
        <cfvo type="percentile" val="50"/>
        <cfvo type="max"/>
        <color rgb="FF63BE7B"/>
        <color rgb="FFFFEB84"/>
        <color rgb="FFF8696B"/>
      </colorScale>
    </cfRule>
  </conditionalFormatting>
  <conditionalFormatting sqref="H8:H10">
    <cfRule type="colorScale" priority="195">
      <colorScale>
        <cfvo type="min"/>
        <cfvo type="percentile" val="50"/>
        <cfvo type="max"/>
        <color rgb="FF63BE7B"/>
        <color rgb="FFFFEB84"/>
        <color rgb="FFF8696B"/>
      </colorScale>
    </cfRule>
    <cfRule type="cellIs" priority="194" operator="equal" dxfId="3">
      <formula>"لم تتم"</formula>
    </cfRule>
    <cfRule type="colorScale" priority="193">
      <colorScale>
        <cfvo type="min"/>
        <cfvo type="percentile" val="50"/>
        <cfvo type="max"/>
        <color rgb="FF63BE7B"/>
        <color rgb="FFFFEB84"/>
        <color rgb="FFF8696B"/>
      </colorScale>
    </cfRule>
    <cfRule type="cellIs" priority="192" operator="equal" dxfId="3">
      <formula>"لم تتم"</formula>
    </cfRule>
    <cfRule type="colorScale" priority="191">
      <colorScale>
        <cfvo type="min"/>
        <cfvo type="percentile" val="50"/>
        <cfvo type="max"/>
        <color rgb="FF63BE7B"/>
        <color rgb="FFFFEB84"/>
        <color rgb="FFF8696B"/>
      </colorScale>
    </cfRule>
    <cfRule type="cellIs" priority="190" operator="equal" dxfId="3">
      <formula>"لم تتم"</formula>
    </cfRule>
    <cfRule type="colorScale" priority="189">
      <colorScale>
        <cfvo type="min"/>
        <cfvo type="percentile" val="50"/>
        <cfvo type="max"/>
        <color rgb="FF63BE7B"/>
        <color rgb="FFFFEB84"/>
        <color rgb="FFF8696B"/>
      </colorScale>
    </cfRule>
    <cfRule type="cellIs" priority="188" operator="equal" dxfId="3">
      <formula>"لم تتم"</formula>
    </cfRule>
    <cfRule type="cellIs" priority="198" operator="equal" dxfId="3">
      <formula>"لم تتم"</formula>
    </cfRule>
    <cfRule type="colorScale" priority="199">
      <colorScale>
        <cfvo type="min"/>
        <cfvo type="max"/>
        <color rgb="FF63BE7B"/>
        <color rgb="FFFCFCFF"/>
      </colorScale>
    </cfRule>
    <cfRule type="colorScale" priority="197">
      <colorScale>
        <cfvo type="min"/>
        <cfvo type="percentile" val="50"/>
        <cfvo type="max"/>
        <color rgb="FF63BE7B"/>
        <color rgb="FFFFEB84"/>
        <color rgb="FFF8696B"/>
      </colorScale>
    </cfRule>
    <cfRule type="colorScale" priority="196">
      <colorScale>
        <cfvo type="min"/>
        <cfvo type="max"/>
        <color rgb="FF63BE7B"/>
        <color rgb="FFFCFCFF"/>
      </colorScale>
    </cfRule>
  </conditionalFormatting>
  <conditionalFormatting sqref="H10">
    <cfRule type="colorScale" priority="326">
      <colorScale>
        <cfvo type="min"/>
        <cfvo type="percentile" val="50"/>
        <cfvo type="max"/>
        <color rgb="FF63BE7B"/>
        <color rgb="FFFFEB84"/>
        <color rgb="FFF8696B"/>
      </colorScale>
    </cfRule>
    <cfRule type="colorScale" priority="327">
      <colorScale>
        <cfvo type="min"/>
        <cfvo type="max"/>
        <color rgb="FF63BE7B"/>
        <color rgb="FFFCFCFF"/>
      </colorScale>
    </cfRule>
  </conditionalFormatting>
  <conditionalFormatting sqref="I4:I10">
    <cfRule type="colorScale" priority="424">
      <colorScale>
        <cfvo type="min"/>
        <cfvo type="percentile" val="50"/>
        <cfvo type="max"/>
        <color rgb="FF63BE7B"/>
        <color rgb="FFFFEB84"/>
        <color rgb="FFF8696B"/>
      </colorScale>
    </cfRule>
    <cfRule type="cellIs" priority="426" operator="equal" dxfId="3">
      <formula>"لم تتم"</formula>
    </cfRule>
    <cfRule type="colorScale" priority="427">
      <colorScale>
        <cfvo type="min"/>
        <cfvo type="max"/>
        <color rgb="FF63BE7B"/>
        <color rgb="FFFCFCFF"/>
      </colorScale>
    </cfRule>
  </conditionalFormatting>
  <conditionalFormatting sqref="I8:I10">
    <cfRule type="colorScale" priority="356">
      <colorScale>
        <cfvo type="min"/>
        <cfvo type="percentile" val="50"/>
        <cfvo type="max"/>
        <color rgb="FF63BE7B"/>
        <color rgb="FFFFEB84"/>
        <color rgb="FFF8696B"/>
      </colorScale>
    </cfRule>
    <cfRule type="colorScale" priority="208">
      <colorScale>
        <cfvo type="min"/>
        <cfvo type="max"/>
        <color rgb="FF63BE7B"/>
        <color rgb="FFFCFCFF"/>
      </colorScale>
    </cfRule>
    <cfRule type="colorScale" priority="207">
      <colorScale>
        <cfvo type="min"/>
        <cfvo type="percentile" val="50"/>
        <cfvo type="max"/>
        <color rgb="FF63BE7B"/>
        <color rgb="FFFFEB84"/>
        <color rgb="FFF8696B"/>
      </colorScale>
    </cfRule>
    <cfRule type="cellIs" priority="206" operator="equal" dxfId="3">
      <formula>"لم تتم"</formula>
    </cfRule>
    <cfRule type="colorScale" priority="205">
      <colorScale>
        <cfvo type="min"/>
        <cfvo type="percentile" val="50"/>
        <cfvo type="max"/>
        <color rgb="FF63BE7B"/>
        <color rgb="FFFFEB84"/>
        <color rgb="FFF8696B"/>
      </colorScale>
    </cfRule>
    <cfRule type="cellIs" priority="204" operator="equal" dxfId="3">
      <formula>"لم تتم"</formula>
    </cfRule>
    <cfRule type="colorScale" priority="203">
      <colorScale>
        <cfvo type="min"/>
        <cfvo type="percentile" val="50"/>
        <cfvo type="max"/>
        <color rgb="FF63BE7B"/>
        <color rgb="FFFFEB84"/>
        <color rgb="FFF8696B"/>
      </colorScale>
    </cfRule>
    <cfRule type="cellIs" priority="202" operator="equal" dxfId="3">
      <formula>"لم تتم"</formula>
    </cfRule>
    <cfRule type="cellIs" priority="200" operator="equal" dxfId="3">
      <formula>"لم تتم"</formula>
    </cfRule>
    <cfRule type="colorScale" priority="201">
      <colorScale>
        <cfvo type="min"/>
        <cfvo type="percentile" val="50"/>
        <cfvo type="max"/>
        <color rgb="FF63BE7B"/>
        <color rgb="FFFFEB84"/>
        <color rgb="FFF8696B"/>
      </colorScale>
    </cfRule>
  </conditionalFormatting>
  <conditionalFormatting sqref="I4:K4">
    <cfRule type="cellIs" priority="220" operator="equal" dxfId="3">
      <formula>"لم تتم"</formula>
    </cfRule>
    <cfRule type="colorScale" priority="221">
      <colorScale>
        <cfvo type="min"/>
        <cfvo type="percentile" val="50"/>
        <cfvo type="max"/>
        <color rgb="FF63BE7B"/>
        <color rgb="FFFFEB84"/>
        <color rgb="FFF8696B"/>
      </colorScale>
    </cfRule>
    <cfRule type="colorScale" priority="223">
      <colorScale>
        <cfvo type="min"/>
        <cfvo type="percentile" val="50"/>
        <cfvo type="max"/>
        <color rgb="FF63BE7B"/>
        <color rgb="FFFFEB84"/>
        <color rgb="FFF8696B"/>
      </colorScale>
    </cfRule>
    <cfRule type="cellIs" priority="224" operator="equal" dxfId="3">
      <formula>"لم تتم"</formula>
    </cfRule>
    <cfRule type="colorScale" priority="225">
      <colorScale>
        <cfvo type="min"/>
        <cfvo type="percentile" val="50"/>
        <cfvo type="max"/>
        <color rgb="FF63BE7B"/>
        <color rgb="FFFFEB84"/>
        <color rgb="FFF8696B"/>
      </colorScale>
    </cfRule>
    <cfRule type="colorScale" priority="115">
      <colorScale>
        <cfvo type="min"/>
        <cfvo type="max"/>
        <color rgb="FF63BE7B"/>
        <color rgb="FFFCFCFF"/>
      </colorScale>
    </cfRule>
    <cfRule type="cellIs" priority="222" operator="equal" dxfId="3">
      <formula>"لم تتم"</formula>
    </cfRule>
    <cfRule type="cellIs" priority="218" operator="equal" dxfId="3">
      <formula>"لم تتم"</formula>
    </cfRule>
    <cfRule type="colorScale" priority="219">
      <colorScale>
        <cfvo type="min"/>
        <cfvo type="percentile" val="50"/>
        <cfvo type="max"/>
        <color rgb="FF63BE7B"/>
        <color rgb="FFFFEB84"/>
        <color rgb="FFF8696B"/>
      </colorScale>
    </cfRule>
  </conditionalFormatting>
  <conditionalFormatting sqref="I5:K7">
    <cfRule type="colorScale" priority="23">
      <colorScale>
        <cfvo type="min"/>
        <cfvo type="max"/>
        <color rgb="FF63BE7B"/>
        <color rgb="FFFCFCFF"/>
      </colorScale>
    </cfRule>
    <cfRule type="cellIs" priority="24" operator="equal" dxfId="3">
      <formula>"لم تتم"</formula>
    </cfRule>
    <cfRule type="colorScale" priority="25">
      <colorScale>
        <cfvo type="min"/>
        <cfvo type="percentile" val="50"/>
        <cfvo type="max"/>
        <color rgb="FF63BE7B"/>
        <color rgb="FFFFEB84"/>
        <color rgb="FFF8696B"/>
      </colorScale>
    </cfRule>
    <cfRule type="cellIs" priority="26" operator="equal" dxfId="3">
      <formula>"لم تتم"</formula>
    </cfRule>
    <cfRule type="colorScale" priority="27">
      <colorScale>
        <cfvo type="min"/>
        <cfvo type="percentile" val="50"/>
        <cfvo type="max"/>
        <color rgb="FF63BE7B"/>
        <color rgb="FFFFEB84"/>
        <color rgb="FFF8696B"/>
      </colorScale>
    </cfRule>
    <cfRule type="cellIs" priority="28" operator="equal" dxfId="3">
      <formula>"لم تتم"</formula>
    </cfRule>
    <cfRule type="colorScale" priority="29">
      <colorScale>
        <cfvo type="min"/>
        <cfvo type="percentile" val="50"/>
        <cfvo type="max"/>
        <color rgb="FF63BE7B"/>
        <color rgb="FFFFEB84"/>
        <color rgb="FFF8696B"/>
      </colorScale>
    </cfRule>
    <cfRule type="cellIs" priority="30" operator="equal" dxfId="3">
      <formula>"لم تتم"</formula>
    </cfRule>
    <cfRule type="colorScale" priority="31">
      <colorScale>
        <cfvo type="min"/>
        <cfvo type="percentile" val="50"/>
        <cfvo type="max"/>
        <color rgb="FF63BE7B"/>
        <color rgb="FFFFEB84"/>
        <color rgb="FFF8696B"/>
      </colorScale>
    </cfRule>
  </conditionalFormatting>
  <conditionalFormatting sqref="I10:K10">
    <cfRule type="colorScale" priority="111">
      <colorScale>
        <cfvo type="min"/>
        <cfvo type="max"/>
        <color rgb="FF63BE7B"/>
        <color rgb="FFFCFCFF"/>
      </colorScale>
    </cfRule>
  </conditionalFormatting>
  <conditionalFormatting sqref="J10">
    <cfRule type="cellIs" priority="109" operator="equal" dxfId="3">
      <formula>"لم تتم"</formula>
    </cfRule>
    <cfRule type="colorScale" priority="110">
      <colorScale>
        <cfvo type="min"/>
        <cfvo type="max"/>
        <color rgb="FF63BE7B"/>
        <color rgb="FFFCFCFF"/>
      </colorScale>
    </cfRule>
    <cfRule type="colorScale" priority="99">
      <colorScale>
        <cfvo type="min"/>
        <cfvo type="max"/>
        <color rgb="FF63BE7B"/>
        <color rgb="FFFCFCFF"/>
      </colorScale>
    </cfRule>
    <cfRule type="cellIs" priority="100" operator="equal" dxfId="3">
      <formula>"لم تتم"</formula>
    </cfRule>
    <cfRule type="colorScale" priority="101">
      <colorScale>
        <cfvo type="min"/>
        <cfvo type="percentile" val="50"/>
        <cfvo type="max"/>
        <color rgb="FF63BE7B"/>
        <color rgb="FFFFEB84"/>
        <color rgb="FFF8696B"/>
      </colorScale>
    </cfRule>
    <cfRule type="colorScale" priority="103">
      <colorScale>
        <cfvo type="min"/>
        <cfvo type="percentile" val="50"/>
        <cfvo type="max"/>
        <color rgb="FF63BE7B"/>
        <color rgb="FFFFEB84"/>
        <color rgb="FFF8696B"/>
      </colorScale>
    </cfRule>
    <cfRule type="cellIs" priority="104" operator="equal" dxfId="3">
      <formula>"لم تتم"</formula>
    </cfRule>
    <cfRule type="colorScale" priority="105">
      <colorScale>
        <cfvo type="min"/>
        <cfvo type="percentile" val="50"/>
        <cfvo type="max"/>
        <color rgb="FF63BE7B"/>
        <color rgb="FFFFEB84"/>
        <color rgb="FFF8696B"/>
      </colorScale>
    </cfRule>
    <cfRule type="cellIs" priority="106" operator="equal" dxfId="3">
      <formula>"لم تتم"</formula>
    </cfRule>
    <cfRule type="colorScale" priority="107">
      <colorScale>
        <cfvo type="min"/>
        <cfvo type="percentile" val="50"/>
        <cfvo type="max"/>
        <color rgb="FF63BE7B"/>
        <color rgb="FFFFEB84"/>
        <color rgb="FFF8696B"/>
      </colorScale>
    </cfRule>
    <cfRule type="colorScale" priority="108">
      <colorScale>
        <cfvo type="min"/>
        <cfvo type="percentile" val="50"/>
        <cfvo type="max"/>
        <color rgb="FF63BE7B"/>
        <color rgb="FFFFEB84"/>
        <color rgb="FFF8696B"/>
      </colorScale>
    </cfRule>
    <cfRule type="cellIs" priority="102" operator="equal" dxfId="3">
      <formula>"لم تتم"</formula>
    </cfRule>
  </conditionalFormatting>
  <conditionalFormatting sqref="J4:K4">
    <cfRule type="colorScale" priority="295">
      <colorScale>
        <cfvo type="min"/>
        <cfvo type="max"/>
        <color rgb="FF63BE7B"/>
        <color rgb="FFFCFCFF"/>
      </colorScale>
    </cfRule>
    <cfRule type="cellIs" priority="294" operator="equal" dxfId="3">
      <formula>"لم تتم"</formula>
    </cfRule>
    <cfRule type="colorScale" priority="293">
      <colorScale>
        <cfvo type="min"/>
        <cfvo type="percentile" val="50"/>
        <cfvo type="max"/>
        <color rgb="FF63BE7B"/>
        <color rgb="FFFFEB84"/>
        <color rgb="FFF8696B"/>
      </colorScale>
    </cfRule>
  </conditionalFormatting>
  <conditionalFormatting sqref="J5:K7">
    <cfRule type="colorScale" priority="32">
      <colorScale>
        <cfvo type="min"/>
        <cfvo type="percentile" val="50"/>
        <cfvo type="max"/>
        <color rgb="FF63BE7B"/>
        <color rgb="FFFFEB84"/>
        <color rgb="FFF8696B"/>
      </colorScale>
    </cfRule>
    <cfRule type="cellIs" priority="33" operator="equal" dxfId="3">
      <formula>"لم تتم"</formula>
    </cfRule>
    <cfRule type="colorScale" priority="34">
      <colorScale>
        <cfvo type="min"/>
        <cfvo type="max"/>
        <color rgb="FF63BE7B"/>
        <color rgb="FFFCFCFF"/>
      </colorScale>
    </cfRule>
  </conditionalFormatting>
  <conditionalFormatting sqref="J8:K8">
    <cfRule type="colorScale" priority="129">
      <colorScale>
        <cfvo type="min"/>
        <cfvo type="percentile" val="50"/>
        <cfvo type="max"/>
        <color rgb="FF63BE7B"/>
        <color rgb="FFFFEB84"/>
        <color rgb="FFF8696B"/>
      </colorScale>
    </cfRule>
    <cfRule type="colorScale" priority="125">
      <colorScale>
        <cfvo type="min"/>
        <cfvo type="percentile" val="50"/>
        <cfvo type="max"/>
        <color rgb="FF63BE7B"/>
        <color rgb="FFFFEB84"/>
        <color rgb="FFF8696B"/>
      </colorScale>
    </cfRule>
    <cfRule type="colorScale" priority="130">
      <colorScale>
        <cfvo type="min"/>
        <cfvo type="percentile" val="50"/>
        <cfvo type="max"/>
        <color rgb="FF63BE7B"/>
        <color rgb="FFFFEB84"/>
        <color rgb="FFF8696B"/>
      </colorScale>
    </cfRule>
    <cfRule type="cellIs" priority="128" operator="equal" dxfId="3">
      <formula>"لم تتم"</formula>
    </cfRule>
    <cfRule type="colorScale" priority="127">
      <colorScale>
        <cfvo type="min"/>
        <cfvo type="percentile" val="50"/>
        <cfvo type="max"/>
        <color rgb="FF63BE7B"/>
        <color rgb="FFFFEB84"/>
        <color rgb="FFF8696B"/>
      </colorScale>
    </cfRule>
    <cfRule type="cellIs" priority="126" operator="equal" dxfId="3">
      <formula>"لم تتم"</formula>
    </cfRule>
    <cfRule type="cellIs" priority="122" operator="equal" dxfId="3">
      <formula>"لم تتم"</formula>
    </cfRule>
    <cfRule type="cellIs" priority="131" operator="equal" dxfId="3">
      <formula>"لم تتم"</formula>
    </cfRule>
    <cfRule type="colorScale" priority="123">
      <colorScale>
        <cfvo type="min"/>
        <cfvo type="percentile" val="50"/>
        <cfvo type="max"/>
        <color rgb="FF63BE7B"/>
        <color rgb="FFFFEB84"/>
        <color rgb="FFF8696B"/>
      </colorScale>
    </cfRule>
    <cfRule type="cellIs" priority="124" operator="equal" dxfId="3">
      <formula>"لم تتم"</formula>
    </cfRule>
    <cfRule type="colorScale" priority="132">
      <colorScale>
        <cfvo type="min"/>
        <cfvo type="max"/>
        <color rgb="FF63BE7B"/>
        <color rgb="FFFCFCFF"/>
      </colorScale>
    </cfRule>
  </conditionalFormatting>
  <conditionalFormatting sqref="J9:K9">
    <cfRule type="colorScale" priority="147">
      <colorScale>
        <cfvo type="min"/>
        <cfvo type="percentile" val="50"/>
        <cfvo type="max"/>
        <color rgb="FF63BE7B"/>
        <color rgb="FFFFEB84"/>
        <color rgb="FFF8696B"/>
      </colorScale>
    </cfRule>
    <cfRule type="cellIs" priority="146" operator="equal" dxfId="3">
      <formula>"لم تتم"</formula>
    </cfRule>
    <cfRule type="colorScale" priority="145">
      <colorScale>
        <cfvo type="min"/>
        <cfvo type="percentile" val="50"/>
        <cfvo type="max"/>
        <color rgb="FF63BE7B"/>
        <color rgb="FFFFEB84"/>
        <color rgb="FFF8696B"/>
      </colorScale>
    </cfRule>
    <cfRule type="cellIs" priority="150" operator="equal" dxfId="3">
      <formula>"لم تتم"</formula>
    </cfRule>
    <cfRule type="colorScale" priority="149">
      <colorScale>
        <cfvo type="min"/>
        <cfvo type="percentile" val="50"/>
        <cfvo type="max"/>
        <color rgb="FF63BE7B"/>
        <color rgb="FFFFEB84"/>
        <color rgb="FFF8696B"/>
      </colorScale>
    </cfRule>
    <cfRule type="cellIs" priority="148" operator="equal" dxfId="3">
      <formula>"لم تتم"</formula>
    </cfRule>
    <cfRule type="colorScale" priority="154">
      <colorScale>
        <cfvo type="min"/>
        <cfvo type="max"/>
        <color rgb="FF63BE7B"/>
        <color rgb="FFFCFCFF"/>
      </colorScale>
    </cfRule>
    <cfRule type="cellIs" priority="153" operator="equal" dxfId="3">
      <formula>"لم تتم"</formula>
    </cfRule>
    <cfRule type="colorScale" priority="152">
      <colorScale>
        <cfvo type="min"/>
        <cfvo type="percentile" val="50"/>
        <cfvo type="max"/>
        <color rgb="FF63BE7B"/>
        <color rgb="FFFFEB84"/>
        <color rgb="FFF8696B"/>
      </colorScale>
    </cfRule>
    <cfRule type="colorScale" priority="151">
      <colorScale>
        <cfvo type="min"/>
        <cfvo type="percentile" val="50"/>
        <cfvo type="max"/>
        <color rgb="FF63BE7B"/>
        <color rgb="FFFFEB84"/>
        <color rgb="FFF8696B"/>
      </colorScale>
    </cfRule>
  </conditionalFormatting>
  <conditionalFormatting sqref="J9:K10">
    <cfRule type="cellIs" priority="142" operator="equal" dxfId="3">
      <formula>"لم تتم"</formula>
    </cfRule>
  </conditionalFormatting>
  <conditionalFormatting sqref="J10:K10">
    <cfRule type="colorScale" priority="143">
      <colorScale>
        <cfvo type="min"/>
        <cfvo type="max"/>
        <color rgb="FF63BE7B"/>
        <color rgb="FFFCFCFF"/>
      </colorScale>
    </cfRule>
    <cfRule type="colorScale" priority="141">
      <colorScale>
        <cfvo type="min"/>
        <cfvo type="percentile" val="50"/>
        <cfvo type="max"/>
        <color rgb="FF63BE7B"/>
        <color rgb="FFFFEB84"/>
        <color rgb="FFF8696B"/>
      </colorScale>
    </cfRule>
    <cfRule type="colorScale" priority="140">
      <colorScale>
        <cfvo type="min"/>
        <cfvo type="percentile" val="50"/>
        <cfvo type="max"/>
        <color rgb="FF63BE7B"/>
        <color rgb="FFFFEB84"/>
        <color rgb="FFF8696B"/>
      </colorScale>
    </cfRule>
    <cfRule type="cellIs" priority="139" operator="equal" dxfId="3">
      <formula>"لم تتم"</formula>
    </cfRule>
    <cfRule type="colorScale" priority="138">
      <colorScale>
        <cfvo type="min"/>
        <cfvo type="percentile" val="50"/>
        <cfvo type="max"/>
        <color rgb="FF63BE7B"/>
        <color rgb="FFFFEB84"/>
        <color rgb="FFF8696B"/>
      </colorScale>
    </cfRule>
    <cfRule type="cellIs" priority="137" operator="equal" dxfId="3">
      <formula>"لم تتم"</formula>
    </cfRule>
    <cfRule type="cellIs" priority="135" operator="equal" dxfId="3">
      <formula>"لم تتم"</formula>
    </cfRule>
    <cfRule type="colorScale" priority="134">
      <colorScale>
        <cfvo type="min"/>
        <cfvo type="percentile" val="50"/>
        <cfvo type="max"/>
        <color rgb="FF63BE7B"/>
        <color rgb="FFFFEB84"/>
        <color rgb="FFF8696B"/>
      </colorScale>
    </cfRule>
    <cfRule type="cellIs" priority="133" operator="equal" dxfId="3">
      <formula>"لم تتم"</formula>
    </cfRule>
    <cfRule type="colorScale" priority="136">
      <colorScale>
        <cfvo type="min"/>
        <cfvo type="percentile" val="50"/>
        <cfvo type="max"/>
        <color rgb="FF63BE7B"/>
        <color rgb="FFFFEB84"/>
        <color rgb="FFF8696B"/>
      </colorScale>
    </cfRule>
  </conditionalFormatting>
  <conditionalFormatting sqref="Q3:Q7">
    <cfRule type="cellIs" priority="226" operator="equal" dxfId="3">
      <formula>"لم تتم"</formula>
    </cfRule>
    <cfRule type="colorScale" priority="227">
      <colorScale>
        <cfvo type="min"/>
        <cfvo type="percentile" val="50"/>
        <cfvo type="max"/>
        <color rgb="FF63BE7B"/>
        <color rgb="FFFFEB84"/>
        <color rgb="FFF8696B"/>
      </colorScale>
    </cfRule>
    <cfRule type="colorScale" priority="117">
      <colorScale>
        <cfvo type="min"/>
        <cfvo type="max"/>
        <color rgb="FF63BE7B"/>
        <color rgb="FFFCFCFF"/>
      </colorScale>
    </cfRule>
    <cfRule type="cellIs" priority="228" operator="equal" dxfId="3">
      <formula>"لم تتم"</formula>
    </cfRule>
    <cfRule type="colorScale" priority="229">
      <colorScale>
        <cfvo type="min"/>
        <cfvo type="percentile" val="50"/>
        <cfvo type="max"/>
        <color rgb="FF63BE7B"/>
        <color rgb="FFFFEB84"/>
        <color rgb="FFF8696B"/>
      </colorScale>
    </cfRule>
    <cfRule type="cellIs" priority="230" operator="equal" dxfId="3">
      <formula>"لم تتم"</formula>
    </cfRule>
    <cfRule type="colorScale" priority="231">
      <colorScale>
        <cfvo type="min"/>
        <cfvo type="percentile" val="50"/>
        <cfvo type="max"/>
        <color rgb="FF63BE7B"/>
        <color rgb="FFFFEB84"/>
        <color rgb="FFF8696B"/>
      </colorScale>
    </cfRule>
    <cfRule type="colorScale" priority="233">
      <colorScale>
        <cfvo type="min"/>
        <cfvo type="percentile" val="50"/>
        <cfvo type="max"/>
        <color rgb="FF63BE7B"/>
        <color rgb="FFFFEB84"/>
        <color rgb="FFF8696B"/>
      </colorScale>
    </cfRule>
  </conditionalFormatting>
  <conditionalFormatting sqref="Q3:Q10">
    <cfRule type="cellIs" priority="232" operator="equal" dxfId="3">
      <formula>"لم تتم"</formula>
    </cfRule>
  </conditionalFormatting>
  <conditionalFormatting sqref="Q4:Q7">
    <cfRule type="colorScale" priority="432">
      <colorScale>
        <cfvo type="min"/>
        <cfvo type="percentile" val="50"/>
        <cfvo type="max"/>
        <color rgb="FF63BE7B"/>
        <color rgb="FFFFEB84"/>
        <color rgb="FFF8696B"/>
      </colorScale>
    </cfRule>
  </conditionalFormatting>
  <conditionalFormatting sqref="Q4:Q10">
    <cfRule type="cellIs" priority="312" operator="equal" dxfId="3">
      <formula>"لم تتم"</formula>
    </cfRule>
  </conditionalFormatting>
  <conditionalFormatting sqref="Q8:Q10">
    <cfRule type="cellIs" priority="240" operator="equal" dxfId="3">
      <formula>"لم تتم"</formula>
    </cfRule>
    <cfRule type="colorScale" priority="241">
      <colorScale>
        <cfvo type="min"/>
        <cfvo type="percentile" val="50"/>
        <cfvo type="max"/>
        <color rgb="FF63BE7B"/>
        <color rgb="FFFFEB84"/>
        <color rgb="FFF8696B"/>
      </colorScale>
    </cfRule>
    <cfRule type="colorScale" priority="116">
      <colorScale>
        <cfvo type="min"/>
        <cfvo type="max"/>
        <color rgb="FF63BE7B"/>
        <color rgb="FFFCFCFF"/>
      </colorScale>
    </cfRule>
    <cfRule type="colorScale" priority="313">
      <colorScale>
        <cfvo type="min"/>
        <cfvo type="percentile" val="50"/>
        <cfvo type="max"/>
        <color rgb="FF63BE7B"/>
        <color rgb="FFFFEB84"/>
        <color rgb="FFF8696B"/>
      </colorScale>
    </cfRule>
    <cfRule type="colorScale" priority="235">
      <colorScale>
        <cfvo type="min"/>
        <cfvo type="percentile" val="50"/>
        <cfvo type="max"/>
        <color rgb="FF63BE7B"/>
        <color rgb="FFFFEB84"/>
        <color rgb="FFF8696B"/>
      </colorScale>
    </cfRule>
    <cfRule type="cellIs" priority="236" operator="equal" dxfId="3">
      <formula>"لم تتم"</formula>
    </cfRule>
    <cfRule type="colorScale" priority="237">
      <colorScale>
        <cfvo type="min"/>
        <cfvo type="percentile" val="50"/>
        <cfvo type="max"/>
        <color rgb="FF63BE7B"/>
        <color rgb="FFFFEB84"/>
        <color rgb="FFF8696B"/>
      </colorScale>
    </cfRule>
    <cfRule type="cellIs" priority="238" operator="equal" dxfId="3">
      <formula>"لم تتم"</formula>
    </cfRule>
    <cfRule type="colorScale" priority="239">
      <colorScale>
        <cfvo type="min"/>
        <cfvo type="percentile" val="50"/>
        <cfvo type="max"/>
        <color rgb="FF63BE7B"/>
        <color rgb="FFFFEB84"/>
        <color rgb="FFF8696B"/>
      </colorScale>
    </cfRule>
  </conditionalFormatting>
  <conditionalFormatting sqref="G8:K8 I4:BG4 I5:K7 I10:K10 J5:BG10 Q3:R4">
    <cfRule type="colorScale" priority="430">
      <colorScale>
        <cfvo type="min"/>
        <cfvo type="max"/>
        <color rgb="FF63BE7B"/>
        <color rgb="FFFCFCFF"/>
      </colorScale>
    </cfRule>
  </conditionalFormatting>
  <conditionalFormatting sqref="G4:BG10 Q3:R4">
    <cfRule type="colorScale" priority="418">
      <colorScale>
        <cfvo type="min"/>
        <cfvo type="percentile" val="50"/>
        <cfvo type="max"/>
        <color rgb="FF63BE7B"/>
        <color rgb="FFFFEB84"/>
        <color rgb="FFF8696B"/>
      </colorScale>
    </cfRule>
  </conditionalFormatting>
  <conditionalFormatting sqref="R3:R10">
    <cfRule type="cellIs" priority="280" operator="equal" dxfId="3">
      <formula>"لم تتم"</formula>
    </cfRule>
    <cfRule type="colorScale" priority="281">
      <colorScale>
        <cfvo type="min"/>
        <cfvo type="percentile" val="50"/>
        <cfvo type="max"/>
        <color rgb="FF63BE7B"/>
        <color rgb="FFFFEB84"/>
        <color rgb="FFF8696B"/>
      </colorScale>
    </cfRule>
  </conditionalFormatting>
  <conditionalFormatting sqref="R4:R10">
    <cfRule type="colorScale" priority="285">
      <colorScale>
        <cfvo type="min"/>
        <cfvo type="percentile" val="50"/>
        <cfvo type="max"/>
        <color rgb="FF63BE7B"/>
        <color rgb="FFFFEB84"/>
        <color rgb="FFF8696B"/>
      </colorScale>
    </cfRule>
    <cfRule type="cellIs" priority="284" operator="equal" dxfId="3">
      <formula>"لم تتم"</formula>
    </cfRule>
  </conditionalFormatting>
  <conditionalFormatting sqref="S4:S7">
    <cfRule type="colorScale" priority="243">
      <colorScale>
        <cfvo type="min"/>
        <cfvo type="percentile" val="50"/>
        <cfvo type="max"/>
        <color rgb="FF63BE7B"/>
        <color rgb="FFFFEB84"/>
        <color rgb="FFF8696B"/>
      </colorScale>
    </cfRule>
    <cfRule type="colorScale" priority="249">
      <colorScale>
        <cfvo type="min"/>
        <cfvo type="percentile" val="50"/>
        <cfvo type="max"/>
        <color rgb="FF63BE7B"/>
        <color rgb="FFFFEB84"/>
        <color rgb="FFF8696B"/>
      </colorScale>
    </cfRule>
    <cfRule type="cellIs" priority="242" operator="equal" dxfId="3">
      <formula>"لم تتم"</formula>
    </cfRule>
    <cfRule type="colorScale" priority="247">
      <colorScale>
        <cfvo type="min"/>
        <cfvo type="percentile" val="50"/>
        <cfvo type="max"/>
        <color rgb="FF63BE7B"/>
        <color rgb="FFFFEB84"/>
        <color rgb="FFF8696B"/>
      </colorScale>
    </cfRule>
    <cfRule type="cellIs" priority="246" operator="equal" dxfId="3">
      <formula>"لم تتم"</formula>
    </cfRule>
    <cfRule type="colorScale" priority="245">
      <colorScale>
        <cfvo type="min"/>
        <cfvo type="percentile" val="50"/>
        <cfvo type="max"/>
        <color rgb="FF63BE7B"/>
        <color rgb="FFFFEB84"/>
        <color rgb="FFF8696B"/>
      </colorScale>
    </cfRule>
    <cfRule type="cellIs" priority="244" operator="equal" dxfId="3">
      <formula>"لم تتم"</formula>
    </cfRule>
  </conditionalFormatting>
  <conditionalFormatting sqref="S4:S10 S9:T9">
    <cfRule type="cellIs" priority="435" operator="equal" dxfId="3">
      <formula>"لم تتم"</formula>
    </cfRule>
    <cfRule type="colorScale" priority="436">
      <colorScale>
        <cfvo type="min"/>
        <cfvo type="percentile" val="50"/>
        <cfvo type="max"/>
        <color rgb="FF63BE7B"/>
        <color rgb="FFFFEB84"/>
        <color rgb="FFF8696B"/>
      </colorScale>
    </cfRule>
  </conditionalFormatting>
  <conditionalFormatting sqref="S4:S10">
    <cfRule type="cellIs" priority="248" operator="equal" dxfId="3">
      <formula>"لم تتم"</formula>
    </cfRule>
  </conditionalFormatting>
  <conditionalFormatting sqref="S8:S10">
    <cfRule type="colorScale" priority="257">
      <colorScale>
        <cfvo type="min"/>
        <cfvo type="percentile" val="50"/>
        <cfvo type="max"/>
        <color rgb="FF63BE7B"/>
        <color rgb="FFFFEB84"/>
        <color rgb="FFF8696B"/>
      </colorScale>
    </cfRule>
    <cfRule type="colorScale" priority="255">
      <colorScale>
        <cfvo type="min"/>
        <cfvo type="percentile" val="50"/>
        <cfvo type="max"/>
        <color rgb="FF63BE7B"/>
        <color rgb="FFFFEB84"/>
        <color rgb="FFF8696B"/>
      </colorScale>
    </cfRule>
    <cfRule type="cellIs" priority="252" operator="equal" dxfId="3">
      <formula>"لم تتم"</formula>
    </cfRule>
    <cfRule type="colorScale" priority="251">
      <colorScale>
        <cfvo type="min"/>
        <cfvo type="percentile" val="50"/>
        <cfvo type="max"/>
        <color rgb="FF63BE7B"/>
        <color rgb="FFFFEB84"/>
        <color rgb="FFF8696B"/>
      </colorScale>
    </cfRule>
    <cfRule type="cellIs" priority="256" operator="equal" dxfId="3">
      <formula>"لم تتم"</formula>
    </cfRule>
    <cfRule type="cellIs" priority="254" operator="equal" dxfId="3">
      <formula>"لم تتم"</formula>
    </cfRule>
    <cfRule type="colorScale" priority="253">
      <colorScale>
        <cfvo type="min"/>
        <cfvo type="percentile" val="50"/>
        <cfvo type="max"/>
        <color rgb="FF63BE7B"/>
        <color rgb="FFFFEB84"/>
        <color rgb="FFF8696B"/>
      </colorScale>
    </cfRule>
  </conditionalFormatting>
  <conditionalFormatting sqref="S4:T7">
    <cfRule type="colorScale" priority="120">
      <colorScale>
        <cfvo type="min"/>
        <cfvo type="max"/>
        <color rgb="FF63BE7B"/>
        <color rgb="FFFCFCFF"/>
      </colorScale>
    </cfRule>
  </conditionalFormatting>
  <conditionalFormatting sqref="S8:T10">
    <cfRule type="colorScale" priority="119">
      <colorScale>
        <cfvo type="min"/>
        <cfvo type="max"/>
        <color rgb="FF63BE7B"/>
        <color rgb="FFFCFCFF"/>
      </colorScale>
    </cfRule>
  </conditionalFormatting>
  <conditionalFormatting sqref="T4:T7">
    <cfRule type="colorScale" priority="309">
      <colorScale>
        <cfvo type="min"/>
        <cfvo type="percentile" val="50"/>
        <cfvo type="max"/>
        <color rgb="FF63BE7B"/>
        <color rgb="FFFFEB84"/>
        <color rgb="FFF8696B"/>
      </colorScale>
    </cfRule>
    <cfRule type="colorScale" priority="271">
      <colorScale>
        <cfvo type="min"/>
        <cfvo type="percentile" val="50"/>
        <cfvo type="max"/>
        <color rgb="FF63BE7B"/>
        <color rgb="FFFFEB84"/>
        <color rgb="FFF8696B"/>
      </colorScale>
    </cfRule>
    <cfRule type="cellIs" priority="270" operator="equal" dxfId="3">
      <formula>"لم تتم"</formula>
    </cfRule>
    <cfRule type="colorScale" priority="269">
      <colorScale>
        <cfvo type="min"/>
        <cfvo type="percentile" val="50"/>
        <cfvo type="max"/>
        <color rgb="FF63BE7B"/>
        <color rgb="FFFFEB84"/>
        <color rgb="FFF8696B"/>
      </colorScale>
    </cfRule>
    <cfRule type="cellIs" priority="268" operator="equal" dxfId="3">
      <formula>"لم تتم"</formula>
    </cfRule>
    <cfRule type="colorScale" priority="267">
      <colorScale>
        <cfvo type="min"/>
        <cfvo type="percentile" val="50"/>
        <cfvo type="max"/>
        <color rgb="FF63BE7B"/>
        <color rgb="FFFFEB84"/>
        <color rgb="FFF8696B"/>
      </colorScale>
    </cfRule>
  </conditionalFormatting>
  <conditionalFormatting sqref="T4:T10">
    <cfRule type="cellIs" priority="264" operator="equal" dxfId="3">
      <formula>"لم تتم"</formula>
    </cfRule>
    <cfRule type="cellIs" priority="296" operator="equal" dxfId="3">
      <formula>"لم تتم"</formula>
    </cfRule>
  </conditionalFormatting>
  <conditionalFormatting sqref="T8:T9">
    <cfRule type="colorScale" priority="299">
      <colorScale>
        <cfvo type="min"/>
        <cfvo type="percentile" val="50"/>
        <cfvo type="max"/>
        <color rgb="FF63BE7B"/>
        <color rgb="FFFFEB84"/>
        <color rgb="FFF8696B"/>
      </colorScale>
    </cfRule>
  </conditionalFormatting>
  <conditionalFormatting sqref="T8:T10">
    <cfRule type="cellIs" priority="262" operator="equal" dxfId="3">
      <formula>"لم تتم"</formula>
    </cfRule>
    <cfRule type="colorScale" priority="261">
      <colorScale>
        <cfvo type="min"/>
        <cfvo type="percentile" val="50"/>
        <cfvo type="max"/>
        <color rgb="FF63BE7B"/>
        <color rgb="FFFFEB84"/>
        <color rgb="FFF8696B"/>
      </colorScale>
    </cfRule>
    <cfRule type="cellIs" priority="260" operator="equal" dxfId="3">
      <formula>"لم تتم"</formula>
    </cfRule>
    <cfRule type="colorScale" priority="259">
      <colorScale>
        <cfvo type="min"/>
        <cfvo type="percentile" val="50"/>
        <cfvo type="max"/>
        <color rgb="FF63BE7B"/>
        <color rgb="FFFFEB84"/>
        <color rgb="FFF8696B"/>
      </colorScale>
    </cfRule>
    <cfRule type="colorScale" priority="265">
      <colorScale>
        <cfvo type="min"/>
        <cfvo type="percentile" val="50"/>
        <cfvo type="max"/>
        <color rgb="FF63BE7B"/>
        <color rgb="FFFFEB84"/>
        <color rgb="FFF8696B"/>
      </colorScale>
    </cfRule>
    <cfRule type="colorScale" priority="263">
      <colorScale>
        <cfvo type="min"/>
        <cfvo type="percentile" val="50"/>
        <cfvo type="max"/>
        <color rgb="FF63BE7B"/>
        <color rgb="FFFFEB84"/>
        <color rgb="FFF8696B"/>
      </colorScale>
    </cfRule>
    <cfRule type="cellIs" priority="258" operator="equal" dxfId="3">
      <formula>"لم تتم"</formula>
    </cfRule>
  </conditionalFormatting>
  <conditionalFormatting sqref="T10">
    <cfRule type="colorScale" priority="297">
      <colorScale>
        <cfvo type="min"/>
        <cfvo type="percentile" val="50"/>
        <cfvo type="max"/>
        <color rgb="FF63BE7B"/>
        <color rgb="FFFFEB84"/>
        <color rgb="FFF8696B"/>
      </colorScale>
    </cfRule>
  </conditionalFormatting>
  <conditionalFormatting sqref="U4:BG10">
    <cfRule type="colorScale" priority="121">
      <colorScale>
        <cfvo type="min"/>
        <cfvo type="max"/>
        <color rgb="FF63BE7B"/>
        <color rgb="FFFCFCFF"/>
      </colorScale>
    </cfRule>
  </conditionalFormatting>
  <dataValidations count="1">
    <dataValidation sqref="G3:P3 S3:BG3" showDropDown="0" showInputMessage="1" showErrorMessage="1" allowBlank="1" type="list">
      <formula1>"تمت, لم تتم"</formula1>
    </dataValidation>
  </dataValidations>
  <pageMargins left="0.7" right="0.7" top="0.75" bottom="0.75" header="0.3" footer="0.3"/>
  <pageSetup orientation="portrait"/>
  <headerFooter>
    <oddHeader/>
    <oddFooter>&amp;L&amp;"Aptos"&amp;7 &amp;K000000_x000d_# C2 General</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tabColor rgb="FFFFFF00"/>
    <outlinePr summaryBelow="1" summaryRight="1"/>
    <pageSetUpPr/>
  </sheetPr>
  <dimension ref="A3:BI29"/>
  <sheetViews>
    <sheetView rightToLeft="1" zoomScale="70" zoomScaleNormal="70" workbookViewId="0">
      <pane xSplit="7" ySplit="3" topLeftCell="AB4" activePane="bottomRight" state="frozen"/>
      <selection pane="topRight" activeCell="H1" sqref="H1"/>
      <selection pane="bottomLeft" activeCell="A4" sqref="A4"/>
      <selection pane="bottomRight" activeCell="AC8" sqref="AC8"/>
    </sheetView>
  </sheetViews>
  <sheetFormatPr baseColWidth="8" defaultColWidth="8.7109375" defaultRowHeight="15" outlineLevelCol="0"/>
  <cols>
    <col width="8.7109375" customWidth="1" style="28" min="1" max="2"/>
    <col width="15.28515625" customWidth="1" style="28" min="3" max="3"/>
    <col width="16.7109375" bestFit="1" customWidth="1" style="28" min="4" max="4"/>
    <col width="21.7109375" bestFit="1" customWidth="1" style="28" min="5" max="5"/>
    <col width="54.28515625" customWidth="1" style="28" min="6" max="6"/>
    <col width="14.7109375" customWidth="1" style="28" min="7" max="7"/>
    <col hidden="1" width="30" customWidth="1" style="28" min="8" max="8"/>
    <col hidden="1" width="31.7109375" customWidth="1" style="28" min="9" max="9"/>
    <col hidden="1" width="31.85546875" customWidth="1" style="28" min="10" max="10"/>
    <col hidden="1" width="61.28515625" customWidth="1" style="28" min="11" max="11"/>
    <col hidden="1" width="32.28515625" customWidth="1" style="28" min="12" max="12"/>
    <col hidden="1" width="31.7109375" customWidth="1" style="28" min="13" max="13"/>
    <col hidden="1" width="31.85546875" customWidth="1" style="28" min="14" max="14"/>
    <col hidden="1" width="32.85546875" customWidth="1" style="28" min="15" max="15"/>
    <col hidden="1" width="32.28515625" customWidth="1" style="28" min="16" max="16"/>
    <col hidden="1" width="30.42578125" customWidth="1" style="28" min="17" max="17"/>
    <col hidden="1" width="30.7109375" customWidth="1" style="28" min="18" max="18"/>
    <col hidden="1" width="31.7109375" customWidth="1" style="28" min="19" max="19"/>
    <col hidden="1" width="31" customWidth="1" style="28" min="20" max="20"/>
    <col width="33.85546875" bestFit="1" customWidth="1" style="28" min="21" max="21"/>
    <col width="34.140625" bestFit="1" customWidth="1" style="28" min="22" max="22"/>
    <col width="34.28515625" bestFit="1" customWidth="1" style="28" min="23" max="23"/>
    <col width="35.28515625" bestFit="1" customWidth="1" style="28" min="24" max="24"/>
    <col width="34.7109375" bestFit="1" customWidth="1" style="28" min="25" max="25"/>
    <col width="33.7109375" bestFit="1" customWidth="1" style="28" min="26" max="26"/>
    <col width="34" bestFit="1" customWidth="1" style="28" min="27" max="27"/>
    <col width="34.85546875" bestFit="1" customWidth="1" style="28" min="28" max="28"/>
    <col width="34.28515625" bestFit="1" customWidth="1" style="28" min="29" max="29"/>
    <col width="30.140625" bestFit="1" customWidth="1" style="28" min="30" max="30"/>
    <col width="30.42578125" bestFit="1" customWidth="1" style="28" min="31" max="31"/>
    <col width="31.28515625" bestFit="1" customWidth="1" style="28" min="32" max="32"/>
    <col width="30.7109375" bestFit="1" customWidth="1" style="28" min="33" max="33"/>
    <col width="29" bestFit="1" customWidth="1" style="28" min="34" max="34"/>
    <col width="29.28515625" bestFit="1" customWidth="1" style="28" min="35" max="35"/>
    <col width="30.42578125" bestFit="1" customWidth="1" style="28" min="36" max="36"/>
    <col width="29.7109375" bestFit="1" customWidth="1" style="28" min="37" max="37"/>
    <col width="34.5703125" bestFit="1" customWidth="1" style="28" min="38" max="38"/>
    <col width="34.7109375" bestFit="1" customWidth="1" style="28" min="39" max="39"/>
    <col width="35.7109375" bestFit="1" customWidth="1" style="28" min="40" max="40"/>
    <col width="35.140625" bestFit="1" customWidth="1" style="28" min="41" max="41"/>
    <col width="38" bestFit="1" customWidth="1" style="28" min="42" max="42"/>
    <col width="34.7109375" bestFit="1" customWidth="1" style="28" min="43" max="43"/>
    <col width="34.85546875" bestFit="1" customWidth="1" style="28" min="44" max="44"/>
    <col width="36" bestFit="1" customWidth="1" style="28" min="45" max="45"/>
    <col width="35.28515625" bestFit="1" customWidth="1" style="28" min="46" max="46"/>
    <col width="37.42578125" bestFit="1" customWidth="1" style="28" min="47" max="47"/>
    <col width="37.7109375" bestFit="1" customWidth="1" style="28" min="48" max="48"/>
    <col width="38.7109375" bestFit="1" customWidth="1" style="28" min="49" max="49"/>
    <col width="38.140625" bestFit="1" customWidth="1" style="28" min="50" max="50"/>
    <col width="38.28515625" bestFit="1" customWidth="1" style="28" min="51" max="51"/>
    <col width="38.42578125" bestFit="1" customWidth="1" style="28" min="52" max="52"/>
    <col width="39.42578125" bestFit="1" customWidth="1" style="28" min="53" max="53"/>
    <col width="38.7109375" bestFit="1" customWidth="1" style="28" min="54" max="54"/>
    <col width="29.28515625" bestFit="1" customWidth="1" style="28" min="55" max="55"/>
    <col width="29.7109375" bestFit="1" customWidth="1" style="28" min="56" max="56"/>
    <col width="30.7109375" bestFit="1" customWidth="1" style="28" min="57" max="57"/>
    <col width="30" bestFit="1" customWidth="1" style="28" min="58" max="58"/>
    <col width="32.7109375" bestFit="1" customWidth="1" style="28" min="59" max="59"/>
    <col width="31.7109375" bestFit="1" customWidth="1" style="28" min="60" max="60"/>
    <col width="33" bestFit="1" customWidth="1" style="28" min="61" max="61"/>
    <col width="8.7109375" customWidth="1" style="28" min="62" max="16384"/>
  </cols>
  <sheetData>
    <row r="3" ht="36.6" customHeight="1">
      <c r="G3" s="29" t="inlineStr">
        <is>
          <t>التكليفات</t>
        </is>
      </c>
      <c r="H3" s="30" t="inlineStr">
        <is>
          <t>الأسبوع الرابع /  رجب - 1447</t>
        </is>
      </c>
      <c r="I3" s="30" t="inlineStr">
        <is>
          <t>الأسبوع الأول /  شعبان - 1447</t>
        </is>
      </c>
      <c r="J3" s="30" t="inlineStr">
        <is>
          <t>الأسبوع الثاني /  شعبان - 1447</t>
        </is>
      </c>
      <c r="K3" s="30" t="inlineStr">
        <is>
          <t>الأسبوع الثالث /  شعبان - 1447</t>
        </is>
      </c>
      <c r="L3" s="30" t="inlineStr">
        <is>
          <t>الأسبوع الرابع /  شعبان - 1447</t>
        </is>
      </c>
      <c r="M3" s="30" t="inlineStr">
        <is>
          <t>الأسبوع الأول /  رمضان - 1447</t>
        </is>
      </c>
      <c r="N3" s="30" t="inlineStr">
        <is>
          <t>الأسبوع الثاني /  رمضان - 1447</t>
        </is>
      </c>
      <c r="O3" s="30" t="inlineStr">
        <is>
          <t>الأسبوع الثالث /  رمضان - 1447</t>
        </is>
      </c>
      <c r="P3" s="30" t="inlineStr">
        <is>
          <t>الأسبوع الرابع /  رمضان - 1447</t>
        </is>
      </c>
      <c r="Q3" s="30" t="inlineStr">
        <is>
          <t>الأسبوع الأول /  شوال - 1447</t>
        </is>
      </c>
      <c r="R3" s="30" t="inlineStr">
        <is>
          <t>الأسبوع الثاني /  شوال - 1447</t>
        </is>
      </c>
      <c r="S3" s="30" t="inlineStr">
        <is>
          <t>الأسبوع الثالث /  شوال - 1447</t>
        </is>
      </c>
      <c r="T3" s="30" t="inlineStr">
        <is>
          <t>الأسبوع الرابع /  شوال - 1447</t>
        </is>
      </c>
      <c r="U3" s="30" t="inlineStr">
        <is>
          <t>الأسبوع الخامس /  شوال - 1447</t>
        </is>
      </c>
      <c r="V3" s="30" t="inlineStr">
        <is>
          <t>الأسبوع الأول /  ذو القعدة - 1447</t>
        </is>
      </c>
      <c r="W3" s="30" t="inlineStr">
        <is>
          <t>الأسبوع الثاني /  ذو القعدة - 1447</t>
        </is>
      </c>
      <c r="X3" s="30" t="inlineStr">
        <is>
          <t>الأسبوع الثالث /  ذو القعدة - 1447</t>
        </is>
      </c>
      <c r="Y3" s="30" t="inlineStr">
        <is>
          <t>الأسبوع الرابع /  ذو القعدة - 1447</t>
        </is>
      </c>
      <c r="Z3" s="30" t="inlineStr">
        <is>
          <t>الأسبوع الأول /  ذو الحجة - 1447</t>
        </is>
      </c>
      <c r="AA3" s="30" t="inlineStr">
        <is>
          <t>الأسبوع الثاني /  ذو الحجة - 1447</t>
        </is>
      </c>
      <c r="AB3" s="30" t="inlineStr">
        <is>
          <t>الأسبوع الثالث /  ذو الحجة - 1447</t>
        </is>
      </c>
      <c r="AC3" s="30" t="inlineStr">
        <is>
          <t>الأسبوع الرابع /  ذو الحجة - 1447</t>
        </is>
      </c>
      <c r="AD3" s="30" t="inlineStr">
        <is>
          <t>الأسبوع الأول /  محرم - 1448</t>
        </is>
      </c>
      <c r="AE3" s="30" t="inlineStr">
        <is>
          <t>الأسبوع الثاني /  محرم - 1448</t>
        </is>
      </c>
      <c r="AF3" s="30" t="inlineStr">
        <is>
          <t>الأسبوع الثالث /  محرم - 1448</t>
        </is>
      </c>
      <c r="AG3" s="30" t="inlineStr">
        <is>
          <t>الأسبوع الرابع /  محرم - 1448</t>
        </is>
      </c>
      <c r="AH3" s="30" t="inlineStr">
        <is>
          <t>الأسبوع الأول /  صفر - 1448</t>
        </is>
      </c>
      <c r="AI3" s="30" t="inlineStr">
        <is>
          <t>الأسبوع الثاني /  صفر - 1448</t>
        </is>
      </c>
      <c r="AJ3" s="30" t="inlineStr">
        <is>
          <t>الأسبوع الثالث /  صفر - 1448</t>
        </is>
      </c>
      <c r="AK3" s="30" t="inlineStr">
        <is>
          <t>الأسبوع الرابع /  صفر - 1448</t>
        </is>
      </c>
      <c r="AL3" s="30" t="inlineStr">
        <is>
          <t>الأسبوع الأول /  ربيع الأول - 1448</t>
        </is>
      </c>
      <c r="AM3" s="30" t="inlineStr">
        <is>
          <t>الأسبوع الثاني /  ربيع الأول - 1448</t>
        </is>
      </c>
      <c r="AN3" s="30" t="inlineStr">
        <is>
          <t>الأسبوع الثالث /  ربيع الأول - 1448</t>
        </is>
      </c>
      <c r="AO3" s="30" t="inlineStr">
        <is>
          <t>الأسبوع الرابع /  ربيع الأول - 1448</t>
        </is>
      </c>
      <c r="AP3" s="30" t="inlineStr">
        <is>
          <t>الأسبوع الخامس /  ربيع الأول - 1448</t>
        </is>
      </c>
      <c r="AQ3" s="30" t="inlineStr">
        <is>
          <t>الأسبوع الأول /  ربيع الثاني - 1448</t>
        </is>
      </c>
      <c r="AR3" s="30" t="inlineStr">
        <is>
          <t>الأسبوع الثاني /  ربيع الثاني - 1448</t>
        </is>
      </c>
      <c r="AS3" s="30" t="inlineStr">
        <is>
          <t>الأسبوع الثالث /  ربيع الثاني - 1448</t>
        </is>
      </c>
      <c r="AT3" s="30" t="inlineStr">
        <is>
          <t>الأسبوع الرابع /  ربيع الثاني - 1448</t>
        </is>
      </c>
      <c r="AU3" s="30" t="inlineStr">
        <is>
          <t>الأسبوع الأول /  جمادى الأولى - 1448</t>
        </is>
      </c>
      <c r="AV3" s="30" t="inlineStr">
        <is>
          <t>الأسبوع الثاني /  جمادى الأولى - 1448</t>
        </is>
      </c>
      <c r="AW3" s="30" t="inlineStr">
        <is>
          <t>الأسبوع الثالث /  جمادى الأولى - 1448</t>
        </is>
      </c>
      <c r="AX3" s="30" t="inlineStr">
        <is>
          <t>الأسبوع الرابع /  جمادى الأولى - 1448</t>
        </is>
      </c>
      <c r="AY3" s="30" t="inlineStr">
        <is>
          <t>الأسبوع الأول /  جمادى الثانية - 1448</t>
        </is>
      </c>
      <c r="AZ3" s="30" t="inlineStr">
        <is>
          <t>الأسبوع الثاني /  جمادى الثانية - 1448</t>
        </is>
      </c>
      <c r="BA3" s="30" t="inlineStr">
        <is>
          <t>الأسبوع الثالث /  جمادى الثانية - 1448</t>
        </is>
      </c>
      <c r="BB3" s="30" t="inlineStr">
        <is>
          <t>الأسبوع الرابع /  جمادى الثانية - 1448</t>
        </is>
      </c>
      <c r="BC3" s="30" t="inlineStr">
        <is>
          <t>الأسبوع الأول /  رجب - 1448</t>
        </is>
      </c>
      <c r="BD3" s="30" t="inlineStr">
        <is>
          <t>الأسبوع الثاني /  رجب - 1448</t>
        </is>
      </c>
      <c r="BE3" s="30" t="inlineStr">
        <is>
          <t>الأسبوع الثالث /  رجب - 1448</t>
        </is>
      </c>
      <c r="BF3" s="30" t="inlineStr">
        <is>
          <t>الأسبوع الرابع /  رجب - 1448</t>
        </is>
      </c>
      <c r="BG3" s="30" t="inlineStr">
        <is>
          <t>الأسبوع الخامس /  رجب - 1448</t>
        </is>
      </c>
      <c r="BH3" s="30" t="inlineStr">
        <is>
          <t>الأسبوع الأول /  شعبان - 1448</t>
        </is>
      </c>
      <c r="BI3" s="30" t="inlineStr">
        <is>
          <t>الأسبوع الأول /  شعبان - 14482</t>
        </is>
      </c>
    </row>
    <row r="4" ht="29.45" customHeight="1">
      <c r="C4" s="71" t="inlineStr">
        <is>
          <t>الحزب
15 دقيقة</t>
        </is>
      </c>
      <c r="D4" s="76" t="inlineStr">
        <is>
          <t>الإجتماع</t>
        </is>
      </c>
      <c r="E4" s="100" t="n"/>
      <c r="F4" s="76" t="inlineStr">
        <is>
          <t>تم/لم يتم</t>
        </is>
      </c>
      <c r="G4" s="32">
        <f>IFERROR(COUNTIF([1]!Table2[[#This Row],[الأسبوع الأول /  شعبان - 1447]:[الأسبوع الأول /  شعبان - 14482]],"تم")/COUNTA([1]!Table2[[#This Row],[الأسبوع الأول /  شعبان - 1447]:[الأسبوع الأول /  شعبان - 14482]]),"")</f>
        <v/>
      </c>
      <c r="H4" s="33" t="n"/>
      <c r="I4" s="33" t="inlineStr">
        <is>
          <t>تم</t>
        </is>
      </c>
      <c r="J4" s="33" t="n"/>
      <c r="K4" s="33" t="inlineStr">
        <is>
          <t>تم</t>
        </is>
      </c>
      <c r="L4" s="33" t="inlineStr">
        <is>
          <t>تم</t>
        </is>
      </c>
      <c r="M4" s="33" t="n"/>
      <c r="N4" s="33" t="n"/>
      <c r="O4" s="33" t="n"/>
      <c r="P4" s="33" t="n"/>
      <c r="Q4" s="33" t="n"/>
      <c r="R4" s="33" t="n"/>
      <c r="S4" s="33" t="inlineStr">
        <is>
          <t>تم</t>
        </is>
      </c>
      <c r="T4" s="33" t="inlineStr">
        <is>
          <t>لم يتم</t>
        </is>
      </c>
      <c r="U4" s="33" t="inlineStr">
        <is>
          <t>تم</t>
        </is>
      </c>
      <c r="V4" s="33" t="inlineStr">
        <is>
          <t>تم</t>
        </is>
      </c>
      <c r="W4" s="33" t="n"/>
      <c r="X4" s="33" t="inlineStr">
        <is>
          <t>تم</t>
        </is>
      </c>
      <c r="Y4" s="33" t="inlineStr">
        <is>
          <t>تم</t>
        </is>
      </c>
      <c r="Z4" s="33" t="inlineStr">
        <is>
          <t>تم</t>
        </is>
      </c>
      <c r="AA4" s="33" t="inlineStr">
        <is>
          <t>تم</t>
        </is>
      </c>
      <c r="AB4" s="33" t="n"/>
      <c r="AC4" s="33" t="inlineStr">
        <is>
          <t>تم</t>
        </is>
      </c>
      <c r="AD4" s="33" t="inlineStr">
        <is>
          <t>تم</t>
        </is>
      </c>
      <c r="AE4" s="33" t="n"/>
      <c r="AF4" s="33" t="n"/>
      <c r="AG4" s="33" t="n"/>
      <c r="AH4" s="33" t="n"/>
      <c r="AI4" s="33" t="n"/>
      <c r="AJ4" s="33" t="n"/>
      <c r="AK4" s="33" t="n"/>
      <c r="AL4" s="33" t="n"/>
      <c r="AM4" s="33" t="n"/>
      <c r="AN4" s="33" t="n"/>
      <c r="AO4" s="33" t="n"/>
      <c r="AP4" s="33" t="n"/>
      <c r="AQ4" s="33" t="n"/>
      <c r="AR4" s="33" t="n"/>
      <c r="AS4" s="33" t="n"/>
      <c r="AT4" s="33" t="n"/>
      <c r="AU4" s="33" t="n"/>
      <c r="AV4" s="33" t="n"/>
      <c r="AW4" s="33" t="n"/>
      <c r="AX4" s="33" t="n"/>
      <c r="AY4" s="33" t="n"/>
      <c r="AZ4" s="33" t="n"/>
      <c r="BA4" s="33" t="n"/>
      <c r="BB4" s="33" t="n"/>
      <c r="BC4" s="33" t="n"/>
      <c r="BD4" s="33" t="n"/>
      <c r="BE4" s="33" t="n"/>
      <c r="BF4" s="33" t="n"/>
      <c r="BG4" s="33" t="n"/>
      <c r="BH4" s="33" t="n"/>
      <c r="BI4" s="33" t="n"/>
    </row>
    <row r="5" ht="30" customHeight="1">
      <c r="C5" s="107" t="n"/>
      <c r="D5" s="108" t="n"/>
      <c r="E5" s="109" t="n"/>
      <c r="F5" s="34" t="inlineStr">
        <is>
          <t>فاعلية التكليفات</t>
        </is>
      </c>
      <c r="G5" s="32">
        <f>IFERROR(AVERAGE([1]!Table2[[#This Row],[الأسبوع الأول /  شعبان - 1447]:[الأسبوع الأول /  شعبان - 14482]]),"")</f>
        <v/>
      </c>
      <c r="H5" s="35" t="n"/>
      <c r="I5" s="35" t="n"/>
      <c r="J5" s="35" t="n"/>
      <c r="K5" s="35" t="inlineStr">
        <is>
          <t>لا يوجد</t>
        </is>
      </c>
      <c r="L5" s="35" t="n"/>
      <c r="M5" s="35" t="n"/>
      <c r="N5" s="35" t="n"/>
      <c r="O5" s="35" t="n"/>
      <c r="P5" s="35" t="n"/>
      <c r="Q5" s="35" t="n"/>
      <c r="R5" s="35" t="n"/>
      <c r="S5" s="35" t="n"/>
      <c r="T5" s="35" t="n"/>
      <c r="U5" s="35" t="inlineStr">
        <is>
          <t>تم</t>
        </is>
      </c>
      <c r="V5" s="33" t="inlineStr">
        <is>
          <t>تم</t>
        </is>
      </c>
      <c r="W5" s="35" t="n"/>
      <c r="X5" s="35" t="n">
        <v>0.9</v>
      </c>
      <c r="Y5" s="35" t="n">
        <v>0.67</v>
      </c>
      <c r="Z5" s="35" t="n">
        <v>1</v>
      </c>
      <c r="AA5" s="35" t="n">
        <v>1</v>
      </c>
      <c r="AB5" s="35" t="n"/>
      <c r="AC5" s="35" t="n">
        <v>0.7</v>
      </c>
      <c r="AD5" s="35" t="n">
        <v>1</v>
      </c>
      <c r="AE5" s="35" t="n"/>
      <c r="AF5" s="35" t="n"/>
      <c r="AG5" s="35" t="n"/>
      <c r="AH5" s="35" t="n"/>
      <c r="AI5" s="35" t="n"/>
      <c r="AJ5" s="35" t="n"/>
      <c r="AK5" s="35" t="n"/>
      <c r="AL5" s="35" t="n"/>
      <c r="AM5" s="35" t="n"/>
      <c r="AN5" s="35" t="n"/>
      <c r="AO5" s="35" t="n"/>
      <c r="AP5" s="35" t="n"/>
      <c r="AQ5" s="35" t="n"/>
      <c r="AR5" s="35" t="n"/>
      <c r="AS5" s="35" t="n"/>
      <c r="AT5" s="35" t="n"/>
      <c r="AU5" s="35" t="n"/>
      <c r="AV5" s="35" t="n"/>
      <c r="AW5" s="35" t="n"/>
      <c r="AX5" s="35" t="n"/>
      <c r="AY5" s="35" t="n"/>
      <c r="AZ5" s="35" t="n"/>
      <c r="BA5" s="35" t="n"/>
      <c r="BB5" s="35" t="n"/>
      <c r="BC5" s="35" t="n"/>
      <c r="BD5" s="35" t="n"/>
      <c r="BE5" s="35" t="n"/>
      <c r="BF5" s="35" t="n"/>
      <c r="BG5" s="35" t="n"/>
      <c r="BH5" s="35" t="n"/>
      <c r="BI5" s="35" t="n"/>
    </row>
    <row r="6" ht="30" customHeight="1">
      <c r="C6" s="107" t="n"/>
      <c r="D6" s="77" t="inlineStr">
        <is>
          <t>الإطلاع على المحضر</t>
        </is>
      </c>
      <c r="E6" s="98" t="n"/>
      <c r="F6" s="97" t="n"/>
      <c r="G6" s="32">
        <f>IFERROR(COUNTIF([1]!Table2[[#This Row],[الأسبوع الأول /  شعبان - 1447]:[الأسبوع الأول /  شعبان - 14482]],"تم")/COUNTA([1]!Table2[[#This Row],[الأسبوع الأول /  شعبان - 1447]:[الأسبوع الأول /  شعبان - 14482]]),"")</f>
        <v/>
      </c>
      <c r="H6" s="33" t="n"/>
      <c r="I6" s="33" t="n"/>
      <c r="J6" s="33" t="n"/>
      <c r="K6" s="33" t="n"/>
      <c r="L6" s="33" t="n"/>
      <c r="M6" s="33" t="n"/>
      <c r="N6" s="33" t="n"/>
      <c r="O6" s="33" t="n"/>
      <c r="P6" s="33" t="n"/>
      <c r="Q6" s="33" t="n"/>
      <c r="R6" s="33" t="n"/>
      <c r="S6" s="33" t="n"/>
      <c r="T6" s="33" t="n"/>
      <c r="U6" s="33" t="inlineStr">
        <is>
          <t>تم</t>
        </is>
      </c>
      <c r="V6" s="33" t="inlineStr">
        <is>
          <t>تم</t>
        </is>
      </c>
      <c r="W6" s="33" t="n"/>
      <c r="X6" s="33" t="inlineStr">
        <is>
          <t>تم</t>
        </is>
      </c>
      <c r="Y6" s="33" t="inlineStr">
        <is>
          <t>تم</t>
        </is>
      </c>
      <c r="Z6" s="33" t="inlineStr">
        <is>
          <t>تم</t>
        </is>
      </c>
      <c r="AA6" s="33" t="inlineStr">
        <is>
          <t>تم</t>
        </is>
      </c>
      <c r="AB6" s="33" t="n"/>
      <c r="AC6" s="33" t="inlineStr">
        <is>
          <t>تم</t>
        </is>
      </c>
      <c r="AD6" s="33" t="inlineStr">
        <is>
          <t>تم</t>
        </is>
      </c>
      <c r="AE6" s="33" t="n"/>
      <c r="AF6" s="33" t="n"/>
      <c r="AG6" s="33" t="n"/>
      <c r="AH6" s="33" t="n"/>
      <c r="AI6" s="33" t="n"/>
      <c r="AJ6" s="33" t="n"/>
      <c r="AK6" s="33" t="n"/>
      <c r="AL6" s="33" t="n"/>
      <c r="AM6" s="33" t="n"/>
      <c r="AN6" s="33" t="n"/>
      <c r="AO6" s="33" t="n"/>
      <c r="AP6" s="33" t="n"/>
      <c r="AQ6" s="33" t="n"/>
      <c r="AR6" s="33" t="n"/>
      <c r="AS6" s="33" t="n"/>
      <c r="AT6" s="33" t="n"/>
      <c r="AU6" s="33" t="n"/>
      <c r="AV6" s="33" t="n"/>
      <c r="AW6" s="33" t="n"/>
      <c r="AX6" s="33" t="n"/>
      <c r="AY6" s="33" t="n"/>
      <c r="AZ6" s="33" t="n"/>
      <c r="BA6" s="33" t="n"/>
      <c r="BB6" s="33" t="n"/>
      <c r="BC6" s="33" t="n"/>
      <c r="BD6" s="33" t="n"/>
      <c r="BE6" s="33" t="n"/>
      <c r="BF6" s="33" t="n"/>
      <c r="BG6" s="33" t="n"/>
      <c r="BH6" s="33" t="n"/>
      <c r="BI6" s="33" t="n"/>
    </row>
    <row r="7" ht="30" customHeight="1">
      <c r="C7" s="107" t="n"/>
      <c r="D7" s="77" t="inlineStr">
        <is>
          <t xml:space="preserve">متابعة السكرتير </t>
        </is>
      </c>
      <c r="E7" s="98" t="n"/>
      <c r="F7" s="97" t="n"/>
      <c r="G7" s="32">
        <f>IFERROR(COUNTIF([1]!Table2[[#This Row],[الأسبوع الأول /  شعبان - 1447]:[الأسبوع الأول /  شعبان - 14482]],"تم")/COUNTA([1]!Table2[[#This Row],[الأسبوع الأول /  شعبان - 1447]:[الأسبوع الأول /  شعبان - 14482]]),"")</f>
        <v/>
      </c>
      <c r="H7" s="33" t="n"/>
      <c r="I7" s="33" t="n"/>
      <c r="J7" s="33" t="n"/>
      <c r="K7" s="33" t="n"/>
      <c r="L7" s="33" t="n"/>
      <c r="M7" s="33" t="n"/>
      <c r="N7" s="33" t="n"/>
      <c r="O7" s="33" t="n"/>
      <c r="P7" s="33" t="n"/>
      <c r="Q7" s="33" t="n"/>
      <c r="R7" s="33" t="n"/>
      <c r="S7" s="33" t="n"/>
      <c r="T7" s="33" t="n"/>
      <c r="U7" s="33" t="inlineStr">
        <is>
          <t>تم</t>
        </is>
      </c>
      <c r="V7" s="33" t="inlineStr">
        <is>
          <t>تم</t>
        </is>
      </c>
      <c r="W7" s="33" t="n"/>
      <c r="X7" s="33" t="inlineStr">
        <is>
          <t>تم</t>
        </is>
      </c>
      <c r="Y7" s="33" t="inlineStr">
        <is>
          <t>تم</t>
        </is>
      </c>
      <c r="Z7" s="33" t="inlineStr">
        <is>
          <t>تم</t>
        </is>
      </c>
      <c r="AA7" s="33" t="inlineStr">
        <is>
          <t>تم</t>
        </is>
      </c>
      <c r="AB7" s="33" t="n"/>
      <c r="AC7" s="33" t="inlineStr">
        <is>
          <t>تم</t>
        </is>
      </c>
      <c r="AD7" s="33" t="inlineStr">
        <is>
          <t>تم</t>
        </is>
      </c>
      <c r="AE7" s="33" t="n"/>
      <c r="AF7" s="33" t="n"/>
      <c r="AG7" s="33" t="n"/>
      <c r="AH7" s="33" t="n"/>
      <c r="AI7" s="33" t="n"/>
      <c r="AJ7" s="33" t="n"/>
      <c r="AK7" s="33" t="n"/>
      <c r="AL7" s="33" t="n"/>
      <c r="AM7" s="33" t="n"/>
      <c r="AN7" s="33" t="n"/>
      <c r="AO7" s="33" t="n"/>
      <c r="AP7" s="33" t="n"/>
      <c r="AQ7" s="33" t="n"/>
      <c r="AR7" s="33" t="n"/>
      <c r="AS7" s="33" t="n"/>
      <c r="AT7" s="33" t="n"/>
      <c r="AU7" s="33" t="n"/>
      <c r="AV7" s="33" t="n"/>
      <c r="AW7" s="33" t="n"/>
      <c r="AX7" s="33" t="n"/>
      <c r="AY7" s="33" t="n"/>
      <c r="AZ7" s="33" t="n"/>
      <c r="BA7" s="33" t="n"/>
      <c r="BB7" s="33" t="n"/>
      <c r="BC7" s="33" t="n"/>
      <c r="BD7" s="33" t="n"/>
      <c r="BE7" s="33" t="n"/>
      <c r="BF7" s="33" t="n"/>
      <c r="BG7" s="33" t="n"/>
      <c r="BH7" s="33" t="n"/>
      <c r="BI7" s="33" t="n"/>
    </row>
    <row r="8" ht="30" customHeight="1">
      <c r="C8" s="107" t="n"/>
      <c r="D8" s="77" t="inlineStr">
        <is>
          <t>الكلمة الإفتتاحية (إيمانية) 10د</t>
        </is>
      </c>
      <c r="E8" s="98" t="n"/>
      <c r="F8" s="97" t="n"/>
      <c r="G8" s="32">
        <f>IFERROR(COUNTIF([1]!Table2[[#This Row],[الأسبوع الأول /  شعبان - 1447]:[الأسبوع الأول /  شعبان - 14482]],"تم")/COUNTA([1]!Table2[[#This Row],[الأسبوع الأول /  شعبان - 1447]:[الأسبوع الأول /  شعبان - 14482]]),"")</f>
        <v/>
      </c>
      <c r="H8" s="33" t="n"/>
      <c r="I8" s="33" t="n"/>
      <c r="J8" s="33" t="n"/>
      <c r="K8" s="33" t="inlineStr">
        <is>
          <t>تم</t>
        </is>
      </c>
      <c r="L8" s="33" t="n"/>
      <c r="M8" s="33" t="n"/>
      <c r="N8" s="33" t="n"/>
      <c r="O8" s="33" t="n"/>
      <c r="P8" s="33" t="n"/>
      <c r="Q8" s="33" t="n"/>
      <c r="R8" s="33" t="n"/>
      <c r="S8" s="33" t="n"/>
      <c r="T8" s="33" t="n"/>
      <c r="U8" s="33" t="inlineStr">
        <is>
          <t>تم</t>
        </is>
      </c>
      <c r="V8" s="33" t="inlineStr">
        <is>
          <t>تم</t>
        </is>
      </c>
      <c r="W8" s="33" t="n"/>
      <c r="X8" s="33" t="inlineStr">
        <is>
          <t>تم</t>
        </is>
      </c>
      <c r="Y8" s="33" t="inlineStr">
        <is>
          <t>لم يتم</t>
        </is>
      </c>
      <c r="Z8" s="33" t="inlineStr">
        <is>
          <t>تم</t>
        </is>
      </c>
      <c r="AA8" s="33" t="inlineStr">
        <is>
          <t>تم</t>
        </is>
      </c>
      <c r="AB8" s="33" t="n"/>
      <c r="AC8" s="33" t="inlineStr">
        <is>
          <t>تم</t>
        </is>
      </c>
      <c r="AD8" s="33" t="inlineStr">
        <is>
          <t>تم</t>
        </is>
      </c>
      <c r="AE8" s="33" t="n"/>
      <c r="AF8" s="33" t="n"/>
      <c r="AG8" s="33" t="n"/>
      <c r="AH8" s="33" t="n"/>
      <c r="AI8" s="33" t="n"/>
      <c r="AJ8" s="33" t="n"/>
      <c r="AK8" s="33" t="n"/>
      <c r="AL8" s="33" t="n"/>
      <c r="AM8" s="33" t="n"/>
      <c r="AN8" s="33" t="n"/>
      <c r="AO8" s="33" t="n"/>
      <c r="AP8" s="33" t="n"/>
      <c r="AQ8" s="33" t="n"/>
      <c r="AR8" s="33" t="n"/>
      <c r="AS8" s="33" t="n"/>
      <c r="AT8" s="33" t="n"/>
      <c r="AU8" s="33" t="n"/>
      <c r="AV8" s="33" t="n"/>
      <c r="AW8" s="33" t="n"/>
      <c r="AX8" s="33" t="n"/>
      <c r="AY8" s="33" t="n"/>
      <c r="AZ8" s="33" t="n"/>
      <c r="BA8" s="33" t="n"/>
      <c r="BB8" s="33" t="n"/>
      <c r="BC8" s="33" t="n"/>
      <c r="BD8" s="33" t="n"/>
      <c r="BE8" s="33" t="n"/>
      <c r="BF8" s="33" t="n"/>
      <c r="BG8" s="33" t="n"/>
      <c r="BH8" s="33" t="n"/>
      <c r="BI8" s="33" t="n"/>
    </row>
    <row r="9" ht="30" customHeight="1">
      <c r="C9" s="107" t="n"/>
      <c r="D9" s="77" t="inlineStr">
        <is>
          <t xml:space="preserve"> التفقد العلمي للأعضاء (مذاكرة - حضور)</t>
        </is>
      </c>
      <c r="E9" s="98" t="n"/>
      <c r="F9" s="97" t="n"/>
      <c r="G9" s="32">
        <f>IFERROR(COUNTIF([1]!Table2[[#This Row],[الأسبوع الأول /  شعبان - 1447]:[الأسبوع الأول /  شعبان - 14482]],"تم")/COUNTA([1]!Table2[[#This Row],[الأسبوع الأول /  شعبان - 1447]:[الأسبوع الأول /  شعبان - 14482]]),"")</f>
        <v/>
      </c>
      <c r="H9" s="33" t="n"/>
      <c r="I9" s="33" t="n"/>
      <c r="J9" s="33" t="n"/>
      <c r="K9" s="33" t="inlineStr">
        <is>
          <t>تم</t>
        </is>
      </c>
      <c r="L9" s="33" t="n"/>
      <c r="M9" s="33" t="n"/>
      <c r="N9" s="33" t="n"/>
      <c r="O9" s="33" t="n"/>
      <c r="P9" s="33" t="n"/>
      <c r="Q9" s="33" t="n"/>
      <c r="R9" s="33" t="n"/>
      <c r="S9" s="33" t="n"/>
      <c r="T9" s="33" t="n"/>
      <c r="U9" s="33" t="inlineStr">
        <is>
          <t>تم</t>
        </is>
      </c>
      <c r="V9" s="33" t="inlineStr">
        <is>
          <t>تم</t>
        </is>
      </c>
      <c r="W9" s="33" t="n"/>
      <c r="X9" s="33" t="inlineStr">
        <is>
          <t>تم</t>
        </is>
      </c>
      <c r="Y9" s="33" t="inlineStr">
        <is>
          <t>تم</t>
        </is>
      </c>
      <c r="Z9" s="33" t="inlineStr">
        <is>
          <t>تم</t>
        </is>
      </c>
      <c r="AA9" s="33" t="inlineStr">
        <is>
          <t>تم</t>
        </is>
      </c>
      <c r="AB9" s="33" t="n"/>
      <c r="AC9" s="33" t="inlineStr">
        <is>
          <t>تم</t>
        </is>
      </c>
      <c r="AD9" s="33" t="inlineStr">
        <is>
          <t>تم</t>
        </is>
      </c>
      <c r="AE9" s="33" t="n"/>
      <c r="AF9" s="33" t="n"/>
      <c r="AG9" s="33" t="n"/>
      <c r="AH9" s="33" t="n"/>
      <c r="AI9" s="33" t="n"/>
      <c r="AJ9" s="33" t="n"/>
      <c r="AK9" s="33" t="n"/>
      <c r="AL9" s="33" t="n"/>
      <c r="AM9" s="33" t="n"/>
      <c r="AN9" s="33" t="n"/>
      <c r="AO9" s="33" t="n"/>
      <c r="AP9" s="33" t="n"/>
      <c r="AQ9" s="33" t="n"/>
      <c r="AR9" s="33" t="n"/>
      <c r="AS9" s="33" t="n"/>
      <c r="AT9" s="33" t="n"/>
      <c r="AU9" s="33" t="n"/>
      <c r="AV9" s="33" t="n"/>
      <c r="AW9" s="33" t="n"/>
      <c r="AX9" s="33" t="n"/>
      <c r="AY9" s="33" t="n"/>
      <c r="AZ9" s="33" t="n"/>
      <c r="BA9" s="33" t="n"/>
      <c r="BB9" s="33" t="n"/>
      <c r="BC9" s="33" t="n"/>
      <c r="BD9" s="33" t="n"/>
      <c r="BE9" s="33" t="n"/>
      <c r="BF9" s="33" t="n"/>
      <c r="BG9" s="33" t="n"/>
      <c r="BH9" s="33" t="n"/>
      <c r="BI9" s="33" t="n"/>
    </row>
    <row r="10" ht="30" customHeight="1">
      <c r="C10" s="107" t="n"/>
      <c r="D10" s="77" t="inlineStr">
        <is>
          <t>تسجيل الإقتراحات 5د</t>
        </is>
      </c>
      <c r="E10" s="98" t="n"/>
      <c r="F10" s="97" t="n"/>
      <c r="G10" s="32">
        <f>IFERROR(COUNTIF([1]!Table2[[#This Row],[الأسبوع الأول /  شعبان - 1447]:[الأسبوع الأول /  شعبان - 14482]],"تم")/COUNTA([1]!Table2[[#This Row],[الأسبوع الأول /  شعبان - 1447]:[الأسبوع الأول /  شعبان - 14482]]),"")</f>
        <v/>
      </c>
      <c r="H10" s="33" t="n"/>
      <c r="I10" s="33" t="n"/>
      <c r="J10" s="33" t="n"/>
      <c r="K10" s="33" t="inlineStr">
        <is>
          <t>تم</t>
        </is>
      </c>
      <c r="L10" s="33" t="n"/>
      <c r="M10" s="33" t="n"/>
      <c r="N10" s="33" t="n"/>
      <c r="O10" s="33" t="n"/>
      <c r="P10" s="33" t="n"/>
      <c r="Q10" s="33" t="n"/>
      <c r="R10" s="33" t="n"/>
      <c r="S10" s="33" t="n"/>
      <c r="T10" s="33" t="n"/>
      <c r="U10" s="33" t="inlineStr">
        <is>
          <t>تم</t>
        </is>
      </c>
      <c r="V10" s="33" t="inlineStr">
        <is>
          <t>تم</t>
        </is>
      </c>
      <c r="W10" s="33" t="n"/>
      <c r="X10" s="33" t="inlineStr">
        <is>
          <t>تم</t>
        </is>
      </c>
      <c r="Y10" s="33" t="inlineStr">
        <is>
          <t>تم</t>
        </is>
      </c>
      <c r="Z10" s="33" t="inlineStr">
        <is>
          <t>تم</t>
        </is>
      </c>
      <c r="AA10" s="33" t="inlineStr">
        <is>
          <t>تم</t>
        </is>
      </c>
      <c r="AB10" s="33" t="n"/>
      <c r="AC10" s="33" t="inlineStr">
        <is>
          <t>تم</t>
        </is>
      </c>
      <c r="AD10" s="33" t="inlineStr">
        <is>
          <t>تم</t>
        </is>
      </c>
      <c r="AE10" s="33" t="n"/>
      <c r="AF10" s="33" t="n"/>
      <c r="AG10" s="33" t="n"/>
      <c r="AH10" s="33" t="n"/>
      <c r="AI10" s="33" t="n"/>
      <c r="AJ10" s="33" t="n"/>
      <c r="AK10" s="33" t="n"/>
      <c r="AL10" s="33" t="n"/>
      <c r="AM10" s="33" t="n"/>
      <c r="AN10" s="33" t="n"/>
      <c r="AO10" s="33" t="n"/>
      <c r="AP10" s="33" t="n"/>
      <c r="AQ10" s="33" t="n"/>
      <c r="AR10" s="33" t="n"/>
      <c r="AS10" s="33" t="n"/>
      <c r="AT10" s="33" t="n"/>
      <c r="AU10" s="33" t="n"/>
      <c r="AV10" s="33" t="n"/>
      <c r="AW10" s="33" t="n"/>
      <c r="AX10" s="33" t="n"/>
      <c r="AY10" s="33" t="n"/>
      <c r="AZ10" s="33" t="n"/>
      <c r="BA10" s="33" t="n"/>
      <c r="BB10" s="33" t="n"/>
      <c r="BC10" s="33" t="n"/>
      <c r="BD10" s="33" t="n"/>
      <c r="BE10" s="33" t="n"/>
      <c r="BF10" s="33" t="n"/>
      <c r="BG10" s="33" t="n"/>
      <c r="BH10" s="33" t="n"/>
      <c r="BI10" s="33" t="n"/>
    </row>
    <row r="11" ht="30" customHeight="1">
      <c r="C11" s="107" t="n"/>
      <c r="D11" s="77" t="inlineStr">
        <is>
          <t>متابعة التكليفات 10د</t>
        </is>
      </c>
      <c r="E11" s="98" t="n"/>
      <c r="F11" s="97" t="n"/>
      <c r="G11" s="32">
        <f>IFERROR(COUNTIF([1]!Table2[[#This Row],[الأسبوع الأول /  شعبان - 1447]:[الأسبوع الأول /  شعبان - 14482]],"تم")/COUNTA([1]!Table2[[#This Row],[الأسبوع الأول /  شعبان - 1447]:[الأسبوع الأول /  شعبان - 14482]]),"")</f>
        <v/>
      </c>
      <c r="H11" s="33" t="n"/>
      <c r="I11" s="33" t="n"/>
      <c r="J11" s="33" t="n"/>
      <c r="K11" s="33" t="inlineStr">
        <is>
          <t>تم</t>
        </is>
      </c>
      <c r="L11" s="33" t="n"/>
      <c r="M11" s="33" t="n"/>
      <c r="N11" s="33" t="n"/>
      <c r="O11" s="33" t="n"/>
      <c r="P11" s="33" t="n"/>
      <c r="Q11" s="33" t="n"/>
      <c r="R11" s="33" t="n"/>
      <c r="S11" s="33" t="n"/>
      <c r="T11" s="33" t="n"/>
      <c r="U11" s="33" t="inlineStr">
        <is>
          <t>تم</t>
        </is>
      </c>
      <c r="V11" s="33" t="inlineStr">
        <is>
          <t>تم</t>
        </is>
      </c>
      <c r="W11" s="33" t="n"/>
      <c r="X11" s="33" t="inlineStr">
        <is>
          <t>تم</t>
        </is>
      </c>
      <c r="Y11" s="33" t="inlineStr">
        <is>
          <t>تم</t>
        </is>
      </c>
      <c r="Z11" s="33" t="inlineStr">
        <is>
          <t>تم</t>
        </is>
      </c>
      <c r="AA11" s="33" t="inlineStr">
        <is>
          <t>تم</t>
        </is>
      </c>
      <c r="AB11" s="33" t="n"/>
      <c r="AC11" s="33" t="inlineStr">
        <is>
          <t>تم</t>
        </is>
      </c>
      <c r="AD11" s="33" t="inlineStr">
        <is>
          <t>تم</t>
        </is>
      </c>
      <c r="AE11" s="33" t="n"/>
      <c r="AF11" s="33" t="n"/>
      <c r="AG11" s="33" t="n"/>
      <c r="AH11" s="33" t="n"/>
      <c r="AI11" s="33" t="n"/>
      <c r="AJ11" s="33" t="n"/>
      <c r="AK11" s="33" t="n"/>
      <c r="AL11" s="33" t="n"/>
      <c r="AM11" s="33" t="n"/>
      <c r="AN11" s="33" t="n"/>
      <c r="AO11" s="33" t="n"/>
      <c r="AP11" s="33" t="n"/>
      <c r="AQ11" s="33" t="n"/>
      <c r="AR11" s="33" t="n"/>
      <c r="AS11" s="33" t="n"/>
      <c r="AT11" s="33" t="n"/>
      <c r="AU11" s="33" t="n"/>
      <c r="AV11" s="33" t="n"/>
      <c r="AW11" s="33" t="n"/>
      <c r="AX11" s="33" t="n"/>
      <c r="AY11" s="33" t="n"/>
      <c r="AZ11" s="33" t="n"/>
      <c r="BA11" s="33" t="n"/>
      <c r="BB11" s="33" t="n"/>
      <c r="BC11" s="33" t="n"/>
      <c r="BD11" s="33" t="n"/>
      <c r="BE11" s="33" t="n"/>
      <c r="BF11" s="33" t="n"/>
      <c r="BG11" s="33" t="n"/>
      <c r="BH11" s="33" t="n"/>
      <c r="BI11" s="33" t="n"/>
    </row>
    <row r="12" ht="30" customHeight="1">
      <c r="C12" s="107" t="n"/>
      <c r="D12" s="77" t="inlineStr">
        <is>
          <t>الخطة 10د</t>
        </is>
      </c>
      <c r="E12" s="98" t="n"/>
      <c r="F12" s="97" t="n"/>
      <c r="G12" s="32">
        <f>IFERROR(COUNTIF([1]!Table2[[#This Row],[الأسبوع الأول /  شعبان - 1447]:[الأسبوع الأول /  شعبان - 14482]],"تم")/COUNTA([1]!Table2[[#This Row],[الأسبوع الأول /  شعبان - 1447]:[الأسبوع الأول /  شعبان - 14482]]),"")</f>
        <v/>
      </c>
      <c r="H12" s="33" t="n"/>
      <c r="I12" s="33" t="n"/>
      <c r="J12" s="33" t="n"/>
      <c r="K12" s="33" t="inlineStr">
        <is>
          <t>تم</t>
        </is>
      </c>
      <c r="L12" s="33" t="n"/>
      <c r="M12" s="33" t="n"/>
      <c r="N12" s="33" t="n"/>
      <c r="O12" s="33" t="n"/>
      <c r="P12" s="33" t="n"/>
      <c r="Q12" s="33" t="n"/>
      <c r="R12" s="33" t="n"/>
      <c r="S12" s="33" t="n"/>
      <c r="T12" s="33" t="n"/>
      <c r="U12" s="33" t="inlineStr">
        <is>
          <t>تم</t>
        </is>
      </c>
      <c r="V12" s="33" t="inlineStr">
        <is>
          <t>تم</t>
        </is>
      </c>
      <c r="W12" s="33" t="n"/>
      <c r="X12" s="33" t="inlineStr">
        <is>
          <t>تم</t>
        </is>
      </c>
      <c r="Y12" s="33" t="inlineStr">
        <is>
          <t>تم</t>
        </is>
      </c>
      <c r="Z12" s="33" t="inlineStr">
        <is>
          <t>تم</t>
        </is>
      </c>
      <c r="AA12" s="33" t="inlineStr">
        <is>
          <t>تم</t>
        </is>
      </c>
      <c r="AB12" s="33" t="n"/>
      <c r="AC12" s="33" t="inlineStr">
        <is>
          <t>تم</t>
        </is>
      </c>
      <c r="AD12" s="33" t="inlineStr">
        <is>
          <t>تم</t>
        </is>
      </c>
      <c r="AE12" s="33" t="n"/>
      <c r="AF12" s="33" t="n"/>
      <c r="AG12" s="33" t="n"/>
      <c r="AH12" s="33" t="n"/>
      <c r="AI12" s="33" t="n"/>
      <c r="AJ12" s="33" t="n"/>
      <c r="AK12" s="33" t="n"/>
      <c r="AL12" s="33" t="n"/>
      <c r="AM12" s="33" t="n"/>
      <c r="AN12" s="33" t="n"/>
      <c r="AO12" s="33" t="n"/>
      <c r="AP12" s="33" t="n"/>
      <c r="AQ12" s="33" t="n"/>
      <c r="AR12" s="33" t="n"/>
      <c r="AS12" s="33" t="n"/>
      <c r="AT12" s="33" t="n"/>
      <c r="AU12" s="33" t="n"/>
      <c r="AV12" s="33" t="n"/>
      <c r="AW12" s="33" t="n"/>
      <c r="AX12" s="33" t="n"/>
      <c r="AY12" s="33" t="n"/>
      <c r="AZ12" s="33" t="n"/>
      <c r="BA12" s="33" t="n"/>
      <c r="BB12" s="33" t="n"/>
      <c r="BC12" s="33" t="n"/>
      <c r="BD12" s="33" t="n"/>
      <c r="BE12" s="33" t="n"/>
      <c r="BF12" s="33" t="n"/>
      <c r="BG12" s="33" t="n"/>
      <c r="BH12" s="33" t="n"/>
      <c r="BI12" s="33" t="n"/>
    </row>
    <row r="13" ht="30" customHeight="1">
      <c r="C13" s="107" t="n"/>
      <c r="D13" s="77" t="inlineStr">
        <is>
          <t>متابعة شغل الأرض 10د</t>
        </is>
      </c>
      <c r="E13" s="98" t="n"/>
      <c r="F13" s="97" t="n"/>
      <c r="G13" s="32">
        <f>IFERROR(COUNTIF([1]!Table2[[#This Row],[الأسبوع الأول /  شعبان - 1447]:[الأسبوع الأول /  شعبان - 14482]],"تم")/COUNTA([1]!Table2[[#This Row],[الأسبوع الأول /  شعبان - 1447]:[الأسبوع الأول /  شعبان - 14482]]),"")</f>
        <v/>
      </c>
      <c r="H13" s="33" t="n"/>
      <c r="I13" s="33" t="n"/>
      <c r="J13" s="33" t="n"/>
      <c r="K13" s="33" t="inlineStr">
        <is>
          <t>تم</t>
        </is>
      </c>
      <c r="L13" s="33" t="n"/>
      <c r="M13" s="33" t="n"/>
      <c r="N13" s="33" t="n"/>
      <c r="O13" s="33" t="n"/>
      <c r="P13" s="33" t="n"/>
      <c r="Q13" s="33" t="n"/>
      <c r="R13" s="33" t="n"/>
      <c r="S13" s="33" t="n"/>
      <c r="T13" s="33" t="n"/>
      <c r="U13" s="33" t="inlineStr">
        <is>
          <t>تم</t>
        </is>
      </c>
      <c r="V13" s="33" t="inlineStr">
        <is>
          <t>تم</t>
        </is>
      </c>
      <c r="W13" s="33" t="n"/>
      <c r="X13" s="33" t="inlineStr">
        <is>
          <t>تم</t>
        </is>
      </c>
      <c r="Y13" s="33" t="inlineStr">
        <is>
          <t>لم يتم</t>
        </is>
      </c>
      <c r="Z13" s="33" t="inlineStr">
        <is>
          <t>تم</t>
        </is>
      </c>
      <c r="AA13" s="33" t="inlineStr">
        <is>
          <t>تم</t>
        </is>
      </c>
      <c r="AB13" s="33" t="n"/>
      <c r="AC13" s="33" t="inlineStr">
        <is>
          <t>تم</t>
        </is>
      </c>
      <c r="AD13" s="33" t="n"/>
      <c r="AE13" s="33" t="n"/>
      <c r="AF13" s="33" t="n"/>
      <c r="AG13" s="33" t="n"/>
      <c r="AH13" s="33" t="n"/>
      <c r="AI13" s="33" t="n"/>
      <c r="AJ13" s="33" t="n"/>
      <c r="AK13" s="33" t="n"/>
      <c r="AL13" s="33" t="n"/>
      <c r="AM13" s="33" t="n"/>
      <c r="AN13" s="33" t="n"/>
      <c r="AO13" s="33" t="n"/>
      <c r="AP13" s="33" t="n"/>
      <c r="AQ13" s="33" t="n"/>
      <c r="AR13" s="33" t="n"/>
      <c r="AS13" s="33" t="n"/>
      <c r="AT13" s="33" t="n"/>
      <c r="AU13" s="33" t="n"/>
      <c r="AV13" s="33" t="n"/>
      <c r="AW13" s="33" t="n"/>
      <c r="AX13" s="33" t="n"/>
      <c r="AY13" s="33" t="n"/>
      <c r="AZ13" s="33" t="n"/>
      <c r="BA13" s="33" t="n"/>
      <c r="BB13" s="33" t="n"/>
      <c r="BC13" s="33" t="n"/>
      <c r="BD13" s="33" t="n"/>
      <c r="BE13" s="33" t="n"/>
      <c r="BF13" s="33" t="n"/>
      <c r="BG13" s="33" t="n"/>
      <c r="BH13" s="33" t="n"/>
      <c r="BI13" s="33" t="n"/>
    </row>
    <row r="14" ht="30" customHeight="1">
      <c r="C14" s="107" t="n"/>
      <c r="D14" s="110" t="inlineStr">
        <is>
          <t>جولات
شهرية</t>
        </is>
      </c>
      <c r="E14" s="111" t="n"/>
      <c r="F14" s="101" t="n"/>
      <c r="G14" s="32">
        <f>IFERROR(COUNTIF([1]!Table2[[#This Row],[الأسبوع الأول /  شعبان - 1447]:[الأسبوع الأول /  شعبان - 14482]],"تم")/COUNTA([1]!Table2[[#This Row],[الأسبوع الأول /  شعبان - 1447]:[الأسبوع الأول /  شعبان - 14482]]),"")</f>
        <v/>
      </c>
      <c r="H14" s="33" t="n"/>
      <c r="I14" s="33" t="n"/>
      <c r="J14" s="33" t="n"/>
      <c r="K14" s="33" t="inlineStr">
        <is>
          <t>تم</t>
        </is>
      </c>
      <c r="L14" s="33" t="n"/>
      <c r="M14" s="33" t="n"/>
      <c r="N14" s="33" t="n"/>
      <c r="O14" s="33" t="n"/>
      <c r="P14" s="33" t="n"/>
      <c r="Q14" s="33" t="n"/>
      <c r="R14" s="33" t="n"/>
      <c r="S14" s="33" t="n"/>
      <c r="T14" s="33" t="n"/>
      <c r="U14" s="33" t="inlineStr">
        <is>
          <t>لم يتم</t>
        </is>
      </c>
      <c r="V14" s="33" t="inlineStr">
        <is>
          <t>لم يتم</t>
        </is>
      </c>
      <c r="W14" s="33" t="n"/>
      <c r="X14" s="33" t="n"/>
      <c r="Y14" s="33" t="n"/>
      <c r="Z14" s="33" t="n"/>
      <c r="AA14" s="33" t="inlineStr">
        <is>
          <t>تم</t>
        </is>
      </c>
      <c r="AB14" s="33" t="n"/>
      <c r="AC14" s="33" t="inlineStr">
        <is>
          <t>تم</t>
        </is>
      </c>
      <c r="AD14" s="33" t="n"/>
      <c r="AE14" s="33" t="n"/>
      <c r="AF14" s="33" t="n"/>
      <c r="AG14" s="33" t="n"/>
      <c r="AH14" s="33" t="n"/>
      <c r="AI14" s="33" t="n"/>
      <c r="AJ14" s="33" t="n"/>
      <c r="AK14" s="33" t="n"/>
      <c r="AL14" s="33" t="n"/>
      <c r="AM14" s="33" t="n"/>
      <c r="AN14" s="33" t="n"/>
      <c r="AO14" s="33" t="n"/>
      <c r="AP14" s="33" t="n"/>
      <c r="AQ14" s="33" t="n"/>
      <c r="AR14" s="33" t="n"/>
      <c r="AS14" s="33" t="n"/>
      <c r="AT14" s="33" t="n"/>
      <c r="AU14" s="33" t="n"/>
      <c r="AV14" s="33" t="n"/>
      <c r="AW14" s="33" t="n"/>
      <c r="AX14" s="33" t="n"/>
      <c r="AY14" s="33" t="n"/>
      <c r="AZ14" s="33" t="n"/>
      <c r="BA14" s="33" t="n"/>
      <c r="BB14" s="33" t="n"/>
      <c r="BC14" s="33" t="n"/>
      <c r="BD14" s="33" t="n"/>
      <c r="BE14" s="33" t="n"/>
      <c r="BF14" s="33" t="n"/>
      <c r="BG14" s="33" t="n"/>
      <c r="BH14" s="33" t="n"/>
      <c r="BI14" s="33" t="n"/>
    </row>
    <row r="15" ht="30" customHeight="1">
      <c r="C15" s="107" t="n"/>
      <c r="D15" s="112" t="inlineStr">
        <is>
          <t>أنشطة مجتمعية (زيارات - دورات- مراجعة نهائية - قوافل طبية - معارض)</t>
        </is>
      </c>
      <c r="E15" s="113" t="n"/>
      <c r="F15" s="102" t="n"/>
      <c r="G15" s="32">
        <f>IFERROR(COUNTIF([1]!Table2[[#This Row],[الأسبوع الأول /  شعبان - 1447]:[الأسبوع الأول /  شعبان - 14482]],"تم")/COUNTA([1]!Table2[[#This Row],[الأسبوع الأول /  شعبان - 1447]:[الأسبوع الأول /  شعبان - 14482]]),"")</f>
        <v/>
      </c>
      <c r="H15" s="33" t="n"/>
      <c r="I15" s="33" t="n"/>
      <c r="J15" s="33" t="n"/>
      <c r="K15" s="33" t="inlineStr">
        <is>
          <t>لم يتم</t>
        </is>
      </c>
      <c r="L15" s="33" t="n"/>
      <c r="M15" s="33" t="n"/>
      <c r="N15" s="33" t="n"/>
      <c r="O15" s="33" t="n"/>
      <c r="P15" s="33" t="n"/>
      <c r="Q15" s="33" t="n"/>
      <c r="R15" s="33" t="n"/>
      <c r="S15" s="33" t="n"/>
      <c r="T15" s="33" t="n"/>
      <c r="U15" s="33" t="n"/>
      <c r="V15" s="33" t="n"/>
      <c r="W15" s="33" t="n"/>
      <c r="X15" s="33" t="inlineStr">
        <is>
          <t>تم</t>
        </is>
      </c>
      <c r="Y15" s="33" t="inlineStr">
        <is>
          <t>تم</t>
        </is>
      </c>
      <c r="Z15" s="33" t="inlineStr">
        <is>
          <t>تم</t>
        </is>
      </c>
      <c r="AA15" s="33" t="inlineStr">
        <is>
          <t>تم</t>
        </is>
      </c>
      <c r="AB15" s="33" t="n"/>
      <c r="AC15" s="33" t="inlineStr">
        <is>
          <t>تم</t>
        </is>
      </c>
      <c r="AD15" s="33" t="inlineStr">
        <is>
          <t>تم</t>
        </is>
      </c>
      <c r="AE15" s="33" t="n"/>
      <c r="AF15" s="33" t="n"/>
      <c r="AG15" s="33" t="n"/>
      <c r="AH15" s="33" t="n"/>
      <c r="AI15" s="33" t="n"/>
      <c r="AJ15" s="33" t="n"/>
      <c r="AK15" s="33" t="n"/>
      <c r="AL15" s="33" t="n"/>
      <c r="AM15" s="33" t="n"/>
      <c r="AN15" s="33" t="n"/>
      <c r="AO15" s="33" t="n"/>
      <c r="AP15" s="33" t="n"/>
      <c r="AQ15" s="33" t="n"/>
      <c r="AR15" s="33" t="n"/>
      <c r="AS15" s="33" t="n"/>
      <c r="AT15" s="33" t="n"/>
      <c r="AU15" s="33" t="n"/>
      <c r="AV15" s="33" t="n"/>
      <c r="AW15" s="33" t="n"/>
      <c r="AX15" s="33" t="n"/>
      <c r="AY15" s="33" t="n"/>
      <c r="AZ15" s="33" t="n"/>
      <c r="BA15" s="33" t="n"/>
      <c r="BB15" s="33" t="n"/>
      <c r="BC15" s="33" t="n"/>
      <c r="BD15" s="33" t="n"/>
      <c r="BE15" s="33" t="n"/>
      <c r="BF15" s="33" t="n"/>
      <c r="BG15" s="33" t="n"/>
      <c r="BH15" s="33" t="n"/>
      <c r="BI15" s="33" t="n"/>
    </row>
    <row r="16" ht="30" customHeight="1">
      <c r="C16" s="107" t="n"/>
      <c r="D16" s="114" t="inlineStr">
        <is>
          <t>مناقشة الإقتراحات القديمة 10د</t>
        </is>
      </c>
      <c r="E16" s="98" t="n"/>
      <c r="F16" s="97" t="n"/>
      <c r="G16" s="32">
        <f>IFERROR(COUNTIF([1]!Table2[[#This Row],[الأسبوع الأول /  شعبان - 1447]:[الأسبوع الأول /  شعبان - 14482]],"تم")/COUNTA([1]!Table2[[#This Row],[الأسبوع الأول /  شعبان - 1447]:[الأسبوع الأول /  شعبان - 14482]]),"")</f>
        <v/>
      </c>
      <c r="H16" s="33" t="n"/>
      <c r="I16" s="33" t="n"/>
      <c r="J16" s="33" t="n"/>
      <c r="K16" s="33" t="inlineStr">
        <is>
          <t>لم يتم</t>
        </is>
      </c>
      <c r="L16" s="33" t="n"/>
      <c r="M16" s="33" t="n"/>
      <c r="N16" s="33" t="n"/>
      <c r="O16" s="33" t="n"/>
      <c r="P16" s="33" t="n"/>
      <c r="Q16" s="33" t="n"/>
      <c r="R16" s="33" t="n"/>
      <c r="S16" s="33" t="n"/>
      <c r="T16" s="33" t="n"/>
      <c r="U16" s="33" t="inlineStr">
        <is>
          <t>تم</t>
        </is>
      </c>
      <c r="V16" s="33" t="inlineStr">
        <is>
          <t>تم</t>
        </is>
      </c>
      <c r="W16" s="33" t="n"/>
      <c r="X16" s="33" t="inlineStr">
        <is>
          <t>تم</t>
        </is>
      </c>
      <c r="Y16" s="33" t="inlineStr">
        <is>
          <t>تم</t>
        </is>
      </c>
      <c r="Z16" s="33" t="inlineStr">
        <is>
          <t>تم</t>
        </is>
      </c>
      <c r="AA16" s="33" t="n"/>
      <c r="AB16" s="33" t="n"/>
      <c r="AC16" s="33" t="n"/>
      <c r="AD16" s="33" t="inlineStr">
        <is>
          <t>تم</t>
        </is>
      </c>
      <c r="AE16" s="33" t="n"/>
      <c r="AF16" s="33" t="n"/>
      <c r="AG16" s="33" t="n"/>
      <c r="AH16" s="33" t="n"/>
      <c r="AI16" s="33" t="n"/>
      <c r="AJ16" s="33" t="n"/>
      <c r="AK16" s="33" t="n"/>
      <c r="AL16" s="33" t="n"/>
      <c r="AM16" s="33" t="n"/>
      <c r="AN16" s="33" t="n"/>
      <c r="AO16" s="33" t="n"/>
      <c r="AP16" s="33" t="n"/>
      <c r="AQ16" s="33" t="n"/>
      <c r="AR16" s="33" t="n"/>
      <c r="AS16" s="33" t="n"/>
      <c r="AT16" s="33" t="n"/>
      <c r="AU16" s="33" t="n"/>
      <c r="AV16" s="33" t="n"/>
      <c r="AW16" s="33" t="n"/>
      <c r="AX16" s="33" t="n"/>
      <c r="AY16" s="33" t="n"/>
      <c r="AZ16" s="33" t="n"/>
      <c r="BA16" s="33" t="n"/>
      <c r="BB16" s="33" t="n"/>
      <c r="BC16" s="33" t="n"/>
      <c r="BD16" s="33" t="n"/>
      <c r="BE16" s="33" t="n"/>
      <c r="BF16" s="33" t="n"/>
      <c r="BG16" s="33" t="n"/>
      <c r="BH16" s="33" t="n"/>
      <c r="BI16" s="33" t="n"/>
    </row>
    <row r="17" ht="30" customHeight="1">
      <c r="C17" s="107" t="n"/>
      <c r="D17" s="114" t="inlineStr">
        <is>
          <t>مناقشة الإقتراحات الجديدة 10د</t>
        </is>
      </c>
      <c r="E17" s="98" t="n"/>
      <c r="F17" s="97" t="n"/>
      <c r="G17" s="32">
        <f>IFERROR(COUNTIF([1]!Table2[[#This Row],[الأسبوع الأول /  شعبان - 1447]:[الأسبوع الأول /  شعبان - 14482]],"تم")/COUNTA([1]!Table2[[#This Row],[الأسبوع الأول /  شعبان - 1447]:[الأسبوع الأول /  شعبان - 14482]]),"")</f>
        <v/>
      </c>
      <c r="H17" s="33" t="n"/>
      <c r="I17" s="33" t="n"/>
      <c r="J17" s="33" t="n"/>
      <c r="K17" s="33" t="inlineStr">
        <is>
          <t>تم</t>
        </is>
      </c>
      <c r="L17" s="33" t="n"/>
      <c r="M17" s="33" t="n"/>
      <c r="N17" s="33" t="n"/>
      <c r="O17" s="33" t="n"/>
      <c r="P17" s="33" t="n"/>
      <c r="Q17" s="33" t="n"/>
      <c r="R17" s="33" t="n"/>
      <c r="S17" s="33" t="n"/>
      <c r="T17" s="33" t="n"/>
      <c r="U17" s="33" t="inlineStr">
        <is>
          <t>تم</t>
        </is>
      </c>
      <c r="V17" s="33" t="inlineStr">
        <is>
          <t>لم يتم</t>
        </is>
      </c>
      <c r="W17" s="33" t="n"/>
      <c r="X17" s="33" t="inlineStr">
        <is>
          <t>لم يتم</t>
        </is>
      </c>
      <c r="Y17" s="33" t="inlineStr">
        <is>
          <t>لم يتم</t>
        </is>
      </c>
      <c r="Z17" s="33" t="inlineStr">
        <is>
          <t>تم</t>
        </is>
      </c>
      <c r="AA17" s="33" t="inlineStr">
        <is>
          <t>تم</t>
        </is>
      </c>
      <c r="AB17" s="33" t="n"/>
      <c r="AC17" s="33" t="inlineStr">
        <is>
          <t>تم</t>
        </is>
      </c>
      <c r="AD17" s="33" t="inlineStr">
        <is>
          <t>تم</t>
        </is>
      </c>
      <c r="AE17" s="33" t="n"/>
      <c r="AF17" s="33" t="n"/>
      <c r="AG17" s="33" t="n"/>
      <c r="AH17" s="33" t="n"/>
      <c r="AI17" s="33" t="n"/>
      <c r="AJ17" s="33" t="n"/>
      <c r="AK17" s="33" t="n"/>
      <c r="AL17" s="33" t="n"/>
      <c r="AM17" s="33" t="n"/>
      <c r="AN17" s="33" t="n"/>
      <c r="AO17" s="33" t="n"/>
      <c r="AP17" s="33" t="n"/>
      <c r="AQ17" s="33" t="n"/>
      <c r="AR17" s="33" t="n"/>
      <c r="AS17" s="33" t="n"/>
      <c r="AT17" s="33" t="n"/>
      <c r="AU17" s="33" t="n"/>
      <c r="AV17" s="33" t="n"/>
      <c r="AW17" s="33" t="n"/>
      <c r="AX17" s="33" t="n"/>
      <c r="AY17" s="33" t="n"/>
      <c r="AZ17" s="33" t="n"/>
      <c r="BA17" s="33" t="n"/>
      <c r="BB17" s="33" t="n"/>
      <c r="BC17" s="33" t="n"/>
      <c r="BD17" s="33" t="n"/>
      <c r="BE17" s="33" t="n"/>
      <c r="BF17" s="33" t="n"/>
      <c r="BG17" s="33" t="n"/>
      <c r="BH17" s="33" t="n"/>
      <c r="BI17" s="33" t="n"/>
    </row>
    <row r="18">
      <c r="A18" t="inlineStr">
        <is>
          <t>الإطلاع على المحضر</t>
        </is>
      </c>
      <c r="B18" t="inlineStr">
        <is>
          <t>لم يتم</t>
        </is>
      </c>
    </row>
    <row r="19">
      <c r="A19" t="inlineStr">
        <is>
          <t>متابعة السكرتير</t>
        </is>
      </c>
      <c r="B19" t="inlineStr">
        <is>
          <t>لم يتم</t>
        </is>
      </c>
    </row>
    <row r="20">
      <c r="A20" t="inlineStr">
        <is>
          <t>الكلمة الإفتتاحية</t>
        </is>
      </c>
      <c r="B20" t="inlineStr">
        <is>
          <t>لم يتم</t>
        </is>
      </c>
    </row>
    <row r="21">
      <c r="A21" t="inlineStr">
        <is>
          <t>التفقد العلمي</t>
        </is>
      </c>
      <c r="B21" t="inlineStr">
        <is>
          <t>تم</t>
        </is>
      </c>
    </row>
    <row r="22">
      <c r="A22" t="inlineStr">
        <is>
          <t>تسجيل الإقتراحات</t>
        </is>
      </c>
      <c r="B22" t="inlineStr">
        <is>
          <t>تم</t>
        </is>
      </c>
    </row>
    <row r="23">
      <c r="A23" t="inlineStr">
        <is>
          <t>متابعة التكليفات</t>
        </is>
      </c>
      <c r="B23" t="inlineStr">
        <is>
          <t>تم</t>
        </is>
      </c>
    </row>
    <row r="24">
      <c r="A24" t="inlineStr">
        <is>
          <t>الخطة</t>
        </is>
      </c>
      <c r="B24" t="inlineStr">
        <is>
          <t>لم يتم</t>
        </is>
      </c>
    </row>
    <row r="25">
      <c r="A25" t="inlineStr">
        <is>
          <t>متابعة شغل الأرض</t>
        </is>
      </c>
      <c r="B25" t="inlineStr">
        <is>
          <t>لم يتم</t>
        </is>
      </c>
    </row>
    <row r="26">
      <c r="A26" t="inlineStr">
        <is>
          <t>جولات</t>
        </is>
      </c>
      <c r="B26" t="inlineStr">
        <is>
          <t>لم يتم</t>
        </is>
      </c>
    </row>
    <row r="27">
      <c r="A27" t="inlineStr">
        <is>
          <t>أنشطة مجتمعية</t>
        </is>
      </c>
      <c r="B27" t="inlineStr">
        <is>
          <t>لم يتم</t>
        </is>
      </c>
    </row>
    <row r="28">
      <c r="A28" t="inlineStr">
        <is>
          <t>اقتراحات قديمة</t>
        </is>
      </c>
      <c r="B28" t="inlineStr">
        <is>
          <t>لم يتم</t>
        </is>
      </c>
    </row>
    <row r="29">
      <c r="A29" t="inlineStr">
        <is>
          <t>اقتراحات جديدة</t>
        </is>
      </c>
      <c r="B29" t="inlineStr">
        <is>
          <t>لم يتم</t>
        </is>
      </c>
    </row>
  </sheetData>
  <mergeCells count="14">
    <mergeCell ref="D13:F13"/>
    <mergeCell ref="D11:F11"/>
    <mergeCell ref="D4:E5"/>
    <mergeCell ref="D14:F14"/>
    <mergeCell ref="C4:C17"/>
    <mergeCell ref="D12:F12"/>
    <mergeCell ref="D17:F17"/>
    <mergeCell ref="D9:F9"/>
    <mergeCell ref="D7:F7"/>
    <mergeCell ref="D8:F8"/>
    <mergeCell ref="D6:F6"/>
    <mergeCell ref="D15:F15"/>
    <mergeCell ref="D16:F16"/>
    <mergeCell ref="D10:F10"/>
  </mergeCells>
  <conditionalFormatting sqref="D6:D13">
    <cfRule type="cellIs" priority="15" operator="equal" dxfId="3" stopIfTrue="1">
      <formula>"لم يتم"</formula>
    </cfRule>
  </conditionalFormatting>
  <conditionalFormatting sqref="D4 F4:F5">
    <cfRule type="cellIs" priority="14" operator="equal" dxfId="3" stopIfTrue="1">
      <formula>"لم يتم"</formula>
    </cfRule>
  </conditionalFormatting>
  <conditionalFormatting sqref="F5">
    <cfRule type="colorScale" priority="13">
      <colorScale>
        <cfvo type="min"/>
        <cfvo type="percentile" val="50"/>
        <cfvo type="max"/>
        <color rgb="FFF8696B"/>
        <color rgb="FFFFEB84"/>
        <color rgb="FF63BE7B"/>
      </colorScale>
    </cfRule>
  </conditionalFormatting>
  <conditionalFormatting sqref="G4">
    <cfRule type="colorScale" priority="6">
      <colorScale>
        <cfvo type="min"/>
        <cfvo type="percentile" val="50"/>
        <cfvo type="max"/>
        <color rgb="FFF8696B"/>
        <color rgb="FFFFEB84"/>
        <color rgb="FF63BE7B"/>
      </colorScale>
    </cfRule>
  </conditionalFormatting>
  <conditionalFormatting sqref="G5">
    <cfRule type="dataBar" priority="5">
      <dataBar>
        <cfvo type="min"/>
        <cfvo type="max"/>
        <color rgb="FF638EC6"/>
      </dataBar>
    </cfRule>
  </conditionalFormatting>
  <conditionalFormatting sqref="G6:G14">
    <cfRule type="colorScale" priority="10">
      <colorScale>
        <cfvo type="min"/>
        <cfvo type="percentile" val="50"/>
        <cfvo type="max"/>
        <color rgb="FFF8696B"/>
        <color rgb="FFFFEB84"/>
        <color rgb="FF63BE7B"/>
      </colorScale>
    </cfRule>
  </conditionalFormatting>
  <conditionalFormatting sqref="G15">
    <cfRule type="colorScale" priority="403">
      <colorScale>
        <cfvo type="min"/>
        <cfvo type="percentile" val="50"/>
        <cfvo type="max"/>
        <color rgb="FFF8696B"/>
        <color rgb="FFFFEB84"/>
        <color rgb="FF63BE7B"/>
      </colorScale>
    </cfRule>
  </conditionalFormatting>
  <conditionalFormatting sqref="G16:G17">
    <cfRule type="colorScale" priority="318">
      <colorScale>
        <cfvo type="min"/>
        <cfvo type="percentile" val="50"/>
        <cfvo type="max"/>
        <color rgb="FFF8696B"/>
        <color rgb="FFFFEB84"/>
        <color rgb="FF63BE7B"/>
      </colorScale>
    </cfRule>
  </conditionalFormatting>
  <conditionalFormatting sqref="H4:BI17">
    <cfRule type="cellIs" priority="1" operator="equal" dxfId="4">
      <formula>"تم"</formula>
    </cfRule>
    <cfRule type="cellIs" priority="2" operator="equal" dxfId="3">
      <formula>"لم يتم"</formula>
    </cfRule>
  </conditionalFormatting>
  <dataValidations count="1">
    <dataValidation sqref="H4:BI4 H6:U17 V5:V17 W6:BI17" showDropDown="0" showInputMessage="1" showErrorMessage="1" allowBlank="1" type="list">
      <formula1>"تم, لم يتم"</formula1>
    </dataValidation>
  </dataValidations>
  <pageMargins left="0.7" right="0.7" top="0.75" bottom="0.75" header="0.3" footer="0.3"/>
  <headerFooter>
    <oddHeader/>
    <oddFooter>&amp;L&amp;"Aptos"&amp;7 &amp;K000000_x000d_# C2 General</oddFooter>
    <evenHeader/>
    <evenFooter/>
    <firstHeader/>
    <firstFooter/>
  </headerFooter>
</worksheet>
</file>

<file path=xl/worksheets/sheet3.xml><?xml version="1.0" encoding="utf-8"?>
<worksheet xmlns="http://schemas.openxmlformats.org/spreadsheetml/2006/main">
  <sheetPr>
    <tabColor rgb="FF00B050"/>
    <outlinePr summaryBelow="1" summaryRight="1"/>
    <pageSetUpPr/>
  </sheetPr>
  <dimension ref="A2:J1330"/>
  <sheetViews>
    <sheetView showGridLines="0" rightToLeft="1" tabSelected="1" topLeftCell="A49" zoomScaleNormal="100" workbookViewId="0">
      <selection activeCell="C54" sqref="C54"/>
    </sheetView>
  </sheetViews>
  <sheetFormatPr baseColWidth="8" defaultColWidth="8.7109375" defaultRowHeight="22.5" outlineLevelCol="0"/>
  <cols>
    <col width="1.5703125" customWidth="1" style="3" min="1" max="1"/>
    <col width="32.5703125" bestFit="1" customWidth="1" style="3" min="2" max="2"/>
    <col width="90.7109375" customWidth="1" style="3" min="3" max="3"/>
    <col width="14.28515625" bestFit="1" customWidth="1" style="3" min="4" max="4"/>
    <col width="10.7109375" bestFit="1" customWidth="1" style="3" min="5" max="5"/>
    <col width="2.28515625" customWidth="1" style="3" min="6" max="6"/>
    <col width="15.28515625" bestFit="1" customWidth="1" style="3" min="7" max="7"/>
    <col width="12.7109375" bestFit="1" customWidth="1" style="3" min="8" max="8"/>
    <col width="11.7109375" bestFit="1" customWidth="1" style="3" min="9" max="9"/>
    <col width="12.28515625" customWidth="1" style="3" min="10" max="10"/>
    <col width="8.7109375" customWidth="1" style="3" min="11" max="16384"/>
  </cols>
  <sheetData>
    <row r="1" ht="12" customHeight="1"/>
    <row r="2">
      <c r="B2" s="11" t="inlineStr">
        <is>
          <t>الأسبوع</t>
        </is>
      </c>
      <c r="C2" s="7" t="inlineStr">
        <is>
          <t>التكليف</t>
        </is>
      </c>
      <c r="D2" s="7" t="inlineStr">
        <is>
          <t>مسئول التنفيذ</t>
        </is>
      </c>
      <c r="E2" s="8" t="inlineStr">
        <is>
          <t>حالة التنفيذ</t>
        </is>
      </c>
      <c r="G2" s="18" t="inlineStr">
        <is>
          <t>المسؤول</t>
        </is>
      </c>
      <c r="H2" s="19" t="inlineStr">
        <is>
          <t>عدد التكليفات</t>
        </is>
      </c>
      <c r="I2" s="20" t="inlineStr">
        <is>
          <t>% التكليفات</t>
        </is>
      </c>
      <c r="J2" s="20" t="inlineStr">
        <is>
          <t>التكليفات</t>
        </is>
      </c>
    </row>
    <row r="3">
      <c r="B3" s="15" t="inlineStr">
        <is>
          <t>الأسبوع الخامس /  شوال - 1447</t>
        </is>
      </c>
      <c r="C3" s="16" t="inlineStr">
        <is>
          <t>عمل جروب مع رؤوس القطاعات لتنظيم عمل الجولات</t>
        </is>
      </c>
      <c r="D3" s="13" t="inlineStr">
        <is>
          <t>يوسف محمد</t>
        </is>
      </c>
      <c r="E3" s="14" t="inlineStr">
        <is>
          <t>تم</t>
        </is>
      </c>
      <c r="G3" s="21">
        <f>'محضــــــــــــر الجلســــــــة'!C4</f>
        <v/>
      </c>
      <c r="H3" s="9">
        <f>IFERROR(COUNTIF(Table2[مسئول التنفيذ],G3),"")</f>
        <v/>
      </c>
      <c r="I3" s="4">
        <f>IFERROR(COUNTIFS(D:D,G3,E:E,"=تم")/(COUNTIFS(D:D,G3,E:E,"=تم")+COUNTIFS(D:D,G3,E:E,"=تجديد")+COUNTIFS(D:D,G3,E:E,"=إلغاء")),"")</f>
        <v/>
      </c>
      <c r="J3" s="4">
        <f>IFERROR(COUNTIFS(D:D,Table3[[#This Row],[المسؤول]],E:E,"=تم")/(COUNTA(D3:D999982)),"")</f>
        <v/>
      </c>
    </row>
    <row r="4">
      <c r="B4" s="15" t="inlineStr">
        <is>
          <t>الأسبوع الخامس /  شوال - 1447</t>
        </is>
      </c>
      <c r="C4" s="16" t="inlineStr">
        <is>
          <t>فهم كيفية عمل الجولات لرؤوس القطاعات</t>
        </is>
      </c>
      <c r="D4" s="16" t="inlineStr">
        <is>
          <t>محمد إيهاب</t>
        </is>
      </c>
      <c r="E4" s="17" t="inlineStr">
        <is>
          <t>تم</t>
        </is>
      </c>
      <c r="G4" s="21">
        <f>'محضــــــــــــر الجلســــــــة'!C5</f>
        <v/>
      </c>
      <c r="H4" s="10">
        <f>IFERROR(COUNTIF(Table2[مسئول التنفيذ],G4),"")</f>
        <v/>
      </c>
      <c r="I4" s="5">
        <f>IFERROR(COUNTIFS(D:D,G4,E:E,"=تم")/(COUNTIFS(D:D,G4,E:E,"=تم")+COUNTIFS(D:D,G4,E:E,"=تجديد")+COUNTIFS(D:D,G4,E:E,"=إلغاء")),"")</f>
        <v/>
      </c>
      <c r="J4" s="5">
        <f>IFERROR(COUNTIFS(D:D,Table3[[#This Row],[المسؤول]],E:E,"=تم")/(COUNTA(D4:D999983)),"")</f>
        <v/>
      </c>
    </row>
    <row r="5">
      <c r="B5" s="15" t="inlineStr">
        <is>
          <t>الأسبوع الخامس /  شوال - 1447</t>
        </is>
      </c>
      <c r="C5" s="16" t="inlineStr">
        <is>
          <t>آدم يتابع الشابوري والوحدة في نزول الجولات يوم الاحد والاثنين والثلاثاء والاربعاء</t>
        </is>
      </c>
      <c r="D5" s="16" t="inlineStr">
        <is>
          <t>آدم</t>
        </is>
      </c>
      <c r="E5" s="17" t="inlineStr">
        <is>
          <t>تم</t>
        </is>
      </c>
      <c r="G5" s="21">
        <f>'محضــــــــــــر الجلســــــــة'!C6</f>
        <v/>
      </c>
      <c r="H5" s="9">
        <f>IFERROR(COUNTIF(Table2[مسئول التنفيذ],G5),"")</f>
        <v/>
      </c>
      <c r="I5" s="4">
        <f>IFERROR(COUNTIFS(D:D,G5,E:E,"=تم")/(COUNTIFS(D:D,G5,E:E,"=تم")+COUNTIFS(D:D,G5,E:E,"=تجديد")+COUNTIFS(D:D,G5,E:E,"=إلغاء")),"")</f>
        <v/>
      </c>
      <c r="J5" s="4">
        <f>IFERROR(COUNTIFS(D:D,Table3[[#This Row],[المسؤول]],E:E,"=تم")/(COUNTA(D5:D999984)),"")</f>
        <v/>
      </c>
    </row>
    <row r="6">
      <c r="B6" s="15" t="inlineStr">
        <is>
          <t>الأسبوع الخامس /  شوال - 1447</t>
        </is>
      </c>
      <c r="C6" s="16" t="inlineStr">
        <is>
          <t>محمد ايهاب يتابع سيد علي وأحمد حمادة في نزول الجولات</t>
        </is>
      </c>
      <c r="D6" s="16" t="inlineStr">
        <is>
          <t>محمد إيهاب</t>
        </is>
      </c>
      <c r="E6" s="17" t="inlineStr">
        <is>
          <t>تم</t>
        </is>
      </c>
      <c r="G6" s="21">
        <f>'محضــــــــــــر الجلســــــــة'!C7</f>
        <v/>
      </c>
      <c r="H6" s="10">
        <f>IFERROR(COUNTIF(Table2[مسئول التنفيذ],G6),"")</f>
        <v/>
      </c>
      <c r="I6" s="5">
        <f>IFERROR(COUNTIFS(D:D,G6,E:E,"=تم")/(COUNTIFS(D:D,G6,E:E,"=تم")+COUNTIFS(D:D,G6,E:E,"=تجديد")+COUNTIFS(D:D,G6,E:E,"=إلغاء")),"")</f>
        <v/>
      </c>
      <c r="J6" s="5">
        <f>IFERROR(COUNTIFS(D:D,Table3[[#This Row],[المسؤول]],E:E,"=تم")/(COUNTA(D6:D999985)),"")</f>
        <v/>
      </c>
    </row>
    <row r="7">
      <c r="B7" s="15" t="inlineStr">
        <is>
          <t>الأسبوع الخامس /  شوال - 1447</t>
        </is>
      </c>
      <c r="C7" s="16" t="inlineStr">
        <is>
          <t>آدم يكلم ش محمود خير الله لشرق وغرب وحي شبرا الخيمة يوم الاثنين بعد القادم</t>
        </is>
      </c>
      <c r="D7" s="16" t="inlineStr">
        <is>
          <t>آدم</t>
        </is>
      </c>
      <c r="E7" s="17" t="inlineStr">
        <is>
          <t>تم</t>
        </is>
      </c>
      <c r="G7" s="21">
        <f>'محضــــــــــــر الجلســــــــة'!C8</f>
        <v/>
      </c>
      <c r="H7" s="9">
        <f>IFERROR(COUNTIF(Table2[مسئول التنفيذ],G7),"")</f>
        <v/>
      </c>
      <c r="I7" s="4">
        <f>IFERROR(COUNTIFS(D:D,G7,E:E,"=تم")/(COUNTIFS(D:D,G7,E:E,"=تم")+COUNTIFS(D:D,G7,E:E,"=تجديد")+COUNTIFS(D:D,G7,E:E,"=إلغاء")),"")</f>
        <v/>
      </c>
      <c r="J7" s="4">
        <f>IFERROR(COUNTIFS(D:D,Table3[[#This Row],[المسؤول]],E:E,"=تم")/(COUNTA(D7:D999986)),"")</f>
        <v/>
      </c>
    </row>
    <row r="8">
      <c r="B8" s="25" t="n"/>
      <c r="C8" s="26" t="n"/>
      <c r="D8" s="26" t="n"/>
      <c r="E8" s="54" t="n"/>
      <c r="G8" s="21">
        <f>'محضــــــــــــر الجلســــــــة'!C9</f>
        <v/>
      </c>
      <c r="H8" s="10">
        <f>IFERROR(COUNTIF(Table2[مسئول التنفيذ],G8),"")</f>
        <v/>
      </c>
      <c r="I8" s="5">
        <f>IFERROR(COUNTIFS(D:D,G8,E:E,"=تم")/(COUNTIFS(D:D,G8,E:E,"=تم")+COUNTIFS(D:D,G8,E:E,"=تجديد")+COUNTIFS(D:D,G8,E:E,"=إلغاء")),"")</f>
        <v/>
      </c>
      <c r="J8" s="5">
        <f>IFERROR(COUNTIFS(D:D,Table3[[#This Row],[المسؤول]],E:E,"=تم")/(COUNTA(D8:D999987)),"")</f>
        <v/>
      </c>
    </row>
    <row r="9">
      <c r="B9" s="15" t="inlineStr">
        <is>
          <t>الأسبوع الأول /  ذو القعدة - 1447</t>
        </is>
      </c>
      <c r="C9" s="16" t="inlineStr">
        <is>
          <t>محمد ايهاب يكلم ش مجدي لتنظيم فاعلية لكل القطاعات العاملين واللي ينزل الجولات</t>
        </is>
      </c>
      <c r="D9" s="16" t="inlineStr">
        <is>
          <t>محمد إيهاب</t>
        </is>
      </c>
      <c r="E9" s="17" t="inlineStr">
        <is>
          <t>تم</t>
        </is>
      </c>
      <c r="G9" s="21">
        <f>'محضــــــــــــر الجلســــــــة'!C10</f>
        <v/>
      </c>
      <c r="H9" s="9">
        <f>IFERROR(COUNTIF(Table2[مسئول التنفيذ],G9),"")</f>
        <v/>
      </c>
      <c r="I9" s="4">
        <f>IFERROR(COUNTIFS(D:D,G9,E:E,"=تم")/(COUNTIFS(D:D,G9,E:E,"=تم")+COUNTIFS(D:D,G9,E:E,"=تجديد")+COUNTIFS(D:D,G9,E:E,"=إلغاء")),"")</f>
        <v/>
      </c>
      <c r="J9" s="4">
        <f>IFERROR(COUNTIFS(D:D,Table3[[#This Row],[المسؤول]],E:E,"=تم")/(COUNTA(D9:D999988)),"")</f>
        <v/>
      </c>
    </row>
    <row r="10">
      <c r="B10" s="15" t="inlineStr">
        <is>
          <t>الأسبوع الأول /  ذو القعدة - 1447</t>
        </is>
      </c>
      <c r="C10" s="16" t="inlineStr">
        <is>
          <t>احمد طاهر يكلم قطاع مسطرد وبهتيم لنزول الجولات ويحصر عدد ١٠ من القطاع لفاعلية الجولات التي ستتم</t>
        </is>
      </c>
      <c r="D10" s="13" t="inlineStr">
        <is>
          <t>أحمد طاهر</t>
        </is>
      </c>
      <c r="E10" s="17" t="inlineStr">
        <is>
          <t>إلغاء</t>
        </is>
      </c>
      <c r="G10" s="22" t="inlineStr">
        <is>
          <t>الإجمالي</t>
        </is>
      </c>
      <c r="H10" s="23">
        <f>SUBTOTAL(109,H7:H11)</f>
        <v/>
      </c>
      <c r="I10" s="6">
        <f>IFERROR(COUNTIF(Table2[حالة التنفيذ],"تم")/COUNTA(Table2[حالة التنفيذ]),"")</f>
        <v/>
      </c>
      <c r="J10" s="6">
        <f>IFERROR(COUNTIF(Table2[حالة التنفيذ],"تم")/COUNTA(Table2[حالة التنفيذ]),"")</f>
        <v/>
      </c>
    </row>
    <row r="11">
      <c r="B11" s="15" t="inlineStr">
        <is>
          <t>الأسبوع الأول /  ذو القعدة - 1447</t>
        </is>
      </c>
      <c r="C11" s="16" t="inlineStr">
        <is>
          <t>ادم المرسي يكلم الشابوري والوحدة لنزول الجولات  ويحصر ١٠ اسماء من القطاع لحضور فاعلية الجولات</t>
        </is>
      </c>
      <c r="D11" s="16" t="inlineStr">
        <is>
          <t>آدم</t>
        </is>
      </c>
      <c r="E11" s="17" t="inlineStr">
        <is>
          <t>إلغاء</t>
        </is>
      </c>
    </row>
    <row r="12">
      <c r="B12" s="15" t="inlineStr">
        <is>
          <t>الأسبوع الأول /  ذو القعدة - 1447</t>
        </is>
      </c>
      <c r="C12" s="16" t="inlineStr">
        <is>
          <t>محمد محيي يكلم قطاع بيجام ويحصرو١٠ اسماء لحضور فاعلية الجولات</t>
        </is>
      </c>
      <c r="D12" s="16" t="n"/>
      <c r="E12" s="17" t="inlineStr">
        <is>
          <t>إلغاء</t>
        </is>
      </c>
    </row>
    <row r="13">
      <c r="B13" s="15" t="inlineStr">
        <is>
          <t>الأسبوع الأول /  ذو القعدة - 1447</t>
        </is>
      </c>
      <c r="C13" s="16" t="inlineStr">
        <is>
          <t>يوسف محمد يكلم قطاع الوحدة ويحصر ١٠ اسماء لحضور فاعلية شرح الجولات</t>
        </is>
      </c>
      <c r="D13" s="16" t="inlineStr">
        <is>
          <t>يوسف محمد</t>
        </is>
      </c>
      <c r="E13" s="17" t="inlineStr">
        <is>
          <t>إلغاء</t>
        </is>
      </c>
    </row>
    <row r="14">
      <c r="B14" s="15" t="inlineStr">
        <is>
          <t>الأسبوع الأول /  ذو القعدة - 1447</t>
        </is>
      </c>
      <c r="C14" s="24" t="inlineStr">
        <is>
          <t xml:space="preserve">تجهيز درع باسم الحزب لتقديمه لرئيس الحي واستلامه ١٨ ابريل لزيارة 20 ابريل </t>
        </is>
      </c>
      <c r="D14" s="16" t="inlineStr">
        <is>
          <t>محمد محي</t>
        </is>
      </c>
      <c r="E14" s="17" t="inlineStr">
        <is>
          <t>تم</t>
        </is>
      </c>
    </row>
    <row r="15">
      <c r="B15" s="15" t="inlineStr">
        <is>
          <t>الأسبوع الأول /  ذو القعدة - 1447</t>
        </is>
      </c>
      <c r="C15" s="16" t="inlineStr">
        <is>
          <t>شراء علبة شيكولاته واستلامها يوم ١٨ ابريل لنزول الزيارة 20 ابريل</t>
        </is>
      </c>
      <c r="D15" s="16" t="inlineStr">
        <is>
          <t>محمد محي</t>
        </is>
      </c>
      <c r="E15" s="17" t="inlineStr">
        <is>
          <t>تم</t>
        </is>
      </c>
    </row>
    <row r="16">
      <c r="B16" s="15" t="inlineStr">
        <is>
          <t>الأسبوع الأول /  ذو القعدة - 1447</t>
        </is>
      </c>
      <c r="C16" s="16" t="inlineStr">
        <is>
          <t>التواصل مع حسن يوسف للاتفاق على فاعلية الاسعافات الأولية للنساء.</t>
        </is>
      </c>
      <c r="D16" s="16" t="inlineStr">
        <is>
          <t>محمد إيهاب</t>
        </is>
      </c>
      <c r="E16" s="17" t="inlineStr">
        <is>
          <t>تم</t>
        </is>
      </c>
      <c r="G16" s="53" t="n"/>
    </row>
    <row r="17">
      <c r="B17" s="15" t="inlineStr">
        <is>
          <t>الأسبوع الأول /  ذو القعدة - 1447</t>
        </is>
      </c>
      <c r="C17" s="16" t="inlineStr">
        <is>
          <t>التواصل مع لجنة الشباب لحصر أسماء الشباب المستهدف لنزول الجولات من كل قطاع</t>
        </is>
      </c>
      <c r="D17" s="16" t="inlineStr">
        <is>
          <t>يوسف محمد</t>
        </is>
      </c>
      <c r="E17" s="17" t="inlineStr">
        <is>
          <t>تم</t>
        </is>
      </c>
    </row>
    <row r="18">
      <c r="B18" s="15" t="inlineStr">
        <is>
          <t>الأسبوع الأول /  ذو القعدة - 1447</t>
        </is>
      </c>
      <c r="C18" s="16" t="inlineStr">
        <is>
          <t>جلسة بين محمد إيهاب وأدهم محمد و رضا صلاح (قطاع بهتيم) و الاتفاق على القيام بجولة دعوية</t>
        </is>
      </c>
      <c r="D18" s="16" t="inlineStr">
        <is>
          <t>محمد إيهاب</t>
        </is>
      </c>
      <c r="E18" s="17" t="inlineStr">
        <is>
          <t>تم</t>
        </is>
      </c>
    </row>
    <row r="19">
      <c r="B19" s="15" t="inlineStr">
        <is>
          <t>الأسبوع الأول /  ذو القعدة - 1447</t>
        </is>
      </c>
      <c r="C19" s="16" t="inlineStr">
        <is>
          <t>التواصل مع الشيخ محمد شعبان للحصول على ايميل وباسوورد صفحة الحزب لبدء تفعيلها</t>
        </is>
      </c>
      <c r="D19" s="16" t="inlineStr">
        <is>
          <t>يوسف محمد</t>
        </is>
      </c>
      <c r="E19" s="17" t="inlineStr">
        <is>
          <t>تم</t>
        </is>
      </c>
    </row>
    <row r="20">
      <c r="B20" s="15" t="inlineStr">
        <is>
          <t>الأسبوع الأول /  ذو القعدة - 1447</t>
        </is>
      </c>
      <c r="C20" s="16" t="inlineStr">
        <is>
          <t>التواصل مع الشيخ اسامة عرفة للوقوف على الموقف الأمني من عمل فاعلية الانتحار في قاعة مناسبات</t>
        </is>
      </c>
      <c r="D20" s="16" t="inlineStr">
        <is>
          <t>محمد محي</t>
        </is>
      </c>
      <c r="E20" s="17" t="inlineStr">
        <is>
          <t>تم</t>
        </is>
      </c>
    </row>
    <row r="21">
      <c r="B21" s="15" t="inlineStr">
        <is>
          <t>الأسبوع الأول /  ذو القعدة - 1447</t>
        </is>
      </c>
      <c r="C21" s="16" t="inlineStr">
        <is>
          <t>التواصل مع الشيخ اسامة عرفة للوقوف على الموقف الأمني من عمل فاعلية الانتحار في قاعة مناسبات</t>
        </is>
      </c>
      <c r="D21" s="16" t="inlineStr">
        <is>
          <t>محمد إيهاب</t>
        </is>
      </c>
      <c r="E21" s="17" t="inlineStr">
        <is>
          <t>تم</t>
        </is>
      </c>
    </row>
    <row r="22">
      <c r="B22" s="15" t="inlineStr">
        <is>
          <t>الأسبوع الأول /  ذو القعدة - 1447</t>
        </is>
      </c>
      <c r="C22" s="16" t="inlineStr">
        <is>
          <t>التواصل مع طبيبة لمحاضرة الإسعافات الأولية للنساء</t>
        </is>
      </c>
      <c r="D22" s="16" t="inlineStr">
        <is>
          <t>يوسف محمد</t>
        </is>
      </c>
      <c r="E22" s="17" t="inlineStr">
        <is>
          <t>تجديد</t>
        </is>
      </c>
    </row>
    <row r="23">
      <c r="B23" s="25" t="n"/>
      <c r="C23" s="26" t="n"/>
      <c r="D23" s="26" t="n"/>
      <c r="E23" s="54" t="n"/>
    </row>
    <row r="24">
      <c r="B24" s="15" t="inlineStr">
        <is>
          <t>الأسبوع الثاني /  ذو القعدة - 1447</t>
        </is>
      </c>
      <c r="C24" s="24" t="inlineStr">
        <is>
          <t>عمل جروب للجنة الإعلامية يضم رؤساء اللجان</t>
        </is>
      </c>
      <c r="D24" s="16" t="inlineStr">
        <is>
          <t>محمد محي</t>
        </is>
      </c>
      <c r="E24" s="17" t="inlineStr">
        <is>
          <t>تم</t>
        </is>
      </c>
    </row>
    <row r="25">
      <c r="B25" s="15" t="inlineStr">
        <is>
          <t>الأسبوع الثاني /  ذو القعدة - 1447</t>
        </is>
      </c>
      <c r="C25" s="16" t="inlineStr">
        <is>
          <t xml:space="preserve">انشاء صفحة جديدة للحزب </t>
        </is>
      </c>
      <c r="D25" s="16" t="inlineStr">
        <is>
          <t>محمد محي</t>
        </is>
      </c>
      <c r="E25" s="17" t="inlineStr">
        <is>
          <t>تم</t>
        </is>
      </c>
    </row>
    <row r="26">
      <c r="B26" s="15" t="inlineStr">
        <is>
          <t>الأسبوع الثاني /  ذو القعدة - 1447</t>
        </is>
      </c>
      <c r="C26" s="16" t="inlineStr">
        <is>
          <t xml:space="preserve">التواصل مع حسن يوسف تحديد ميعاد لفاعلية الاسعافات الأولية </t>
        </is>
      </c>
      <c r="D26" s="16" t="inlineStr">
        <is>
          <t>محمد إيهاب</t>
        </is>
      </c>
      <c r="E26" s="17" t="inlineStr">
        <is>
          <t>تجديد</t>
        </is>
      </c>
    </row>
    <row r="27">
      <c r="B27" s="25" t="n"/>
      <c r="C27" s="26" t="n"/>
      <c r="D27" s="26" t="n"/>
      <c r="E27" s="54" t="n"/>
    </row>
    <row r="28">
      <c r="B28" s="15" t="inlineStr">
        <is>
          <t>الأسبوع الثالث /  ذو القعدة - 1447</t>
        </is>
      </c>
      <c r="C28" s="16" t="inlineStr">
        <is>
          <t>ضيافة الفاعلية وتوزيعها</t>
        </is>
      </c>
      <c r="D28" s="16" t="inlineStr">
        <is>
          <t>أحمد طاهر</t>
        </is>
      </c>
      <c r="E28" s="17" t="inlineStr">
        <is>
          <t>تم</t>
        </is>
      </c>
    </row>
    <row r="29">
      <c r="B29" s="15" t="inlineStr">
        <is>
          <t>الأسبوع الثالث /  ذو القعدة - 1447</t>
        </is>
      </c>
      <c r="C29" s="16" t="inlineStr">
        <is>
          <t>الترتيب اللوجسيتي وتنظيم دخول الشباب</t>
        </is>
      </c>
      <c r="D29" s="16" t="inlineStr">
        <is>
          <t>أحمد طاهر</t>
        </is>
      </c>
      <c r="E29" s="17" t="inlineStr">
        <is>
          <t>تم</t>
        </is>
      </c>
    </row>
    <row r="30">
      <c r="B30" s="15" t="inlineStr">
        <is>
          <t>الأسبوع الثالث /  ذو القعدة - 1447</t>
        </is>
      </c>
      <c r="C30" s="16" t="inlineStr">
        <is>
          <t>الترتيب اللوجسيتي وتنظيم دخول الشباب</t>
        </is>
      </c>
      <c r="D30" s="16" t="inlineStr">
        <is>
          <t>آدم</t>
        </is>
      </c>
      <c r="E30" s="17" t="inlineStr">
        <is>
          <t>تم</t>
        </is>
      </c>
    </row>
    <row r="31">
      <c r="B31" s="15" t="inlineStr">
        <is>
          <t>الأسبوع الثالث /  ذو القعدة - 1447</t>
        </is>
      </c>
      <c r="C31" s="16" t="inlineStr">
        <is>
          <t>الترتيب اللوجسيتي وتنظيم دخول الشباب</t>
        </is>
      </c>
      <c r="D31" s="16" t="inlineStr">
        <is>
          <t>يوسف محمد</t>
        </is>
      </c>
      <c r="E31" s="17" t="inlineStr">
        <is>
          <t>تم</t>
        </is>
      </c>
    </row>
    <row r="32">
      <c r="B32" s="15" t="inlineStr">
        <is>
          <t>الأسبوع الثالث /  ذو القعدة - 1447</t>
        </is>
      </c>
      <c r="C32" s="16" t="inlineStr">
        <is>
          <t>مكالمة للدكتور عمرو الزواوي واستقباله</t>
        </is>
      </c>
      <c r="D32" s="16" t="inlineStr">
        <is>
          <t>محمد محي</t>
        </is>
      </c>
      <c r="E32" s="17" t="inlineStr">
        <is>
          <t>تم</t>
        </is>
      </c>
    </row>
    <row r="33">
      <c r="B33" s="15" t="inlineStr">
        <is>
          <t>الأسبوع الثالث /  ذو القعدة - 1447</t>
        </is>
      </c>
      <c r="C33" s="16" t="inlineStr">
        <is>
          <t>تصميم ورقه الاستبيان + تصوير الفاعلية</t>
        </is>
      </c>
      <c r="D33" s="16" t="inlineStr">
        <is>
          <t>محمد محي</t>
        </is>
      </c>
      <c r="E33" s="17" t="inlineStr">
        <is>
          <t>تم</t>
        </is>
      </c>
    </row>
    <row r="34">
      <c r="B34" s="15" t="inlineStr">
        <is>
          <t>الأسبوع الثالث /  ذو القعدة - 1447</t>
        </is>
      </c>
      <c r="C34" s="16" t="inlineStr">
        <is>
          <t xml:space="preserve">تقديم الدكتور عمرو في الفاعلية </t>
        </is>
      </c>
      <c r="D34" s="16" t="inlineStr">
        <is>
          <t>أحمد حمادة</t>
        </is>
      </c>
      <c r="E34" s="17" t="inlineStr">
        <is>
          <t>تم</t>
        </is>
      </c>
    </row>
    <row r="35">
      <c r="B35" s="15" t="inlineStr">
        <is>
          <t>الأسبوع الثالث /  ذو القعدة - 1447</t>
        </is>
      </c>
      <c r="C35" s="16" t="inlineStr">
        <is>
          <t xml:space="preserve">متابعة المسئولين في الفاعلية </t>
        </is>
      </c>
      <c r="D35" s="16" t="inlineStr">
        <is>
          <t>محمد إيهاب</t>
        </is>
      </c>
      <c r="E35" s="17" t="inlineStr">
        <is>
          <t>تم</t>
        </is>
      </c>
    </row>
    <row r="36">
      <c r="B36" s="25" t="n"/>
      <c r="C36" s="26" t="n"/>
      <c r="D36" s="26" t="n"/>
      <c r="E36" s="54" t="n"/>
    </row>
    <row r="37">
      <c r="B37" s="15" t="n"/>
      <c r="C37" s="16" t="n"/>
      <c r="D37" s="16" t="n"/>
      <c r="E37" s="17" t="n"/>
    </row>
    <row r="38">
      <c r="B38" s="15" t="inlineStr">
        <is>
          <t>الأسبوع الرابع /  ذو القعدة - 1447</t>
        </is>
      </c>
      <c r="C38" s="16" t="inlineStr">
        <is>
          <t>التواصل لنزول الجولات ابلاغ قطاع بهتيم</t>
        </is>
      </c>
      <c r="D38" s="16" t="inlineStr">
        <is>
          <t>أحمد طاهر</t>
        </is>
      </c>
      <c r="E38" s="17" t="inlineStr">
        <is>
          <t>تم</t>
        </is>
      </c>
    </row>
    <row r="39">
      <c r="B39" s="15" t="inlineStr">
        <is>
          <t>الأسبوع الرابع /  ذو القعدة - 1447</t>
        </is>
      </c>
      <c r="C39" s="16" t="inlineStr">
        <is>
          <t>التواصل لنزول الجولات ابلاغ قطاع مسطرد والشابوري</t>
        </is>
      </c>
      <c r="D39" s="16" t="inlineStr">
        <is>
          <t>محمد إيهاب</t>
        </is>
      </c>
      <c r="E39" s="17" t="inlineStr">
        <is>
          <t>تم</t>
        </is>
      </c>
    </row>
    <row r="40">
      <c r="B40" s="15" t="inlineStr">
        <is>
          <t>الأسبوع الرابع /  ذو القعدة - 1447</t>
        </is>
      </c>
      <c r="C40" s="16" t="inlineStr">
        <is>
          <t>التواصل لنزول الجولات ابلاغ قطاع الوحدة</t>
        </is>
      </c>
      <c r="D40" s="16" t="inlineStr">
        <is>
          <t>سعيد ربيع</t>
        </is>
      </c>
      <c r="E40" s="17" t="inlineStr">
        <is>
          <t>تجديد</t>
        </is>
      </c>
    </row>
    <row r="41">
      <c r="B41" s="15" t="inlineStr">
        <is>
          <t>الأسبوع الرابع /  ذو القعدة - 1447</t>
        </is>
      </c>
      <c r="C41" s="16" t="inlineStr">
        <is>
          <t>التواصل لنزول الجولات ابلاغ قطاع بيجام</t>
        </is>
      </c>
      <c r="D41" s="16" t="inlineStr">
        <is>
          <t>محمد محي</t>
        </is>
      </c>
      <c r="E41" s="17" t="inlineStr">
        <is>
          <t>تم</t>
        </is>
      </c>
    </row>
    <row r="42">
      <c r="B42" s="15" t="inlineStr">
        <is>
          <t>الأسبوع الرابع /  ذو القعدة - 1447</t>
        </is>
      </c>
      <c r="C42" s="16" t="inlineStr">
        <is>
          <t>التواصل مع ممرضه لفاعلية الاسعافات الأولية</t>
        </is>
      </c>
      <c r="D42" s="16" t="inlineStr">
        <is>
          <t>أحمد طاهر</t>
        </is>
      </c>
      <c r="E42" s="17" t="inlineStr">
        <is>
          <t>تم</t>
        </is>
      </c>
    </row>
    <row r="43">
      <c r="B43" s="15" t="inlineStr">
        <is>
          <t>الأسبوع الرابع /  ذو القعدة - 1447</t>
        </is>
      </c>
      <c r="C43" s="16" t="inlineStr">
        <is>
          <t>ترتيب مواضيع ونقاط الفاعلية</t>
        </is>
      </c>
      <c r="D43" s="16" t="inlineStr">
        <is>
          <t>محمد محي</t>
        </is>
      </c>
      <c r="E43" s="17" t="inlineStr">
        <is>
          <t>تم</t>
        </is>
      </c>
    </row>
    <row r="44">
      <c r="B44" s="15" t="inlineStr">
        <is>
          <t>الأسبوع الرابع /  ذو القعدة - 1447</t>
        </is>
      </c>
      <c r="C44" s="16" t="inlineStr">
        <is>
          <t>التواصل مع حسن يوسف للاتفاق على فاعلية الاسعافات الأولية للنساء.</t>
        </is>
      </c>
      <c r="D44" s="16" t="inlineStr">
        <is>
          <t>محمد إيهاب</t>
        </is>
      </c>
      <c r="E44" s="17" t="inlineStr">
        <is>
          <t>تم</t>
        </is>
      </c>
    </row>
    <row r="45">
      <c r="B45" s="25" t="n"/>
      <c r="C45" s="26" t="n"/>
      <c r="D45" s="26" t="n"/>
      <c r="E45" s="17" t="n"/>
    </row>
    <row r="46">
      <c r="B46" s="15" t="inlineStr">
        <is>
          <t>الأسبوع الأول /  ذو الحجة - 1447</t>
        </is>
      </c>
      <c r="C46" s="16" t="inlineStr">
        <is>
          <t>رفع واقع الجولات لقطاع بيجام الي الشيخ مجدي</t>
        </is>
      </c>
      <c r="D46" s="16" t="inlineStr">
        <is>
          <t>محمد إيهاب</t>
        </is>
      </c>
      <c r="E46" s="17" t="inlineStr">
        <is>
          <t>تجديد</t>
        </is>
      </c>
    </row>
    <row r="47">
      <c r="B47" s="15" t="inlineStr">
        <is>
          <t>الأسبوع الأول /  ذو الحجة - 1447</t>
        </is>
      </c>
      <c r="C47" s="16" t="inlineStr">
        <is>
          <t>متابعة جولة العيد لقطاع مسطرد</t>
        </is>
      </c>
      <c r="D47" s="16" t="inlineStr">
        <is>
          <t>محمد إيهاب</t>
        </is>
      </c>
      <c r="E47" s="17" t="inlineStr">
        <is>
          <t>تجديد</t>
        </is>
      </c>
    </row>
    <row r="48">
      <c r="B48" s="15" t="inlineStr">
        <is>
          <t>الأسبوع الأول /  ذو الحجة - 1447</t>
        </is>
      </c>
      <c r="C48" s="16" t="inlineStr">
        <is>
          <t>التواصل لنزول الجولات ابلاغ قطاع الوحدة</t>
        </is>
      </c>
      <c r="D48" s="16" t="inlineStr">
        <is>
          <t>سعيد ربيع</t>
        </is>
      </c>
      <c r="E48" s="17" t="inlineStr">
        <is>
          <t>تم</t>
        </is>
      </c>
    </row>
    <row r="49">
      <c r="B49" s="15" t="inlineStr">
        <is>
          <t>الأسبوع الأول /  ذو الحجة - 1447</t>
        </is>
      </c>
      <c r="C49" s="16" t="inlineStr">
        <is>
          <t>متابعة جولة العيد لقطاع الشابوري</t>
        </is>
      </c>
      <c r="D49" s="16" t="inlineStr">
        <is>
          <t>محمد إيهاب</t>
        </is>
      </c>
      <c r="E49" s="17" t="inlineStr">
        <is>
          <t>تجديد</t>
        </is>
      </c>
    </row>
    <row r="50">
      <c r="B50" s="15" t="inlineStr">
        <is>
          <t>الأسبوع الأول /  ذو الحجة - 1447</t>
        </is>
      </c>
      <c r="C50" s="16" t="inlineStr">
        <is>
          <t>تجهيز أظرف العيديات للأطفال (زيارة المستشفى)</t>
        </is>
      </c>
      <c r="D50" s="16" t="inlineStr">
        <is>
          <t>سعيد ربيع</t>
        </is>
      </c>
      <c r="E50" s="17" t="inlineStr">
        <is>
          <t>تم</t>
        </is>
      </c>
    </row>
    <row r="51">
      <c r="B51" s="15" t="inlineStr">
        <is>
          <t>الأسبوع الأول /  ذو الحجة - 1447</t>
        </is>
      </c>
      <c r="C51" s="16" t="inlineStr">
        <is>
          <t>تجهيز كروت التهنئة للأطفال (زيارة المستشفى)</t>
        </is>
      </c>
      <c r="D51" s="16" t="inlineStr">
        <is>
          <t>آدم</t>
        </is>
      </c>
      <c r="E51" s="17" t="inlineStr">
        <is>
          <t>تم</t>
        </is>
      </c>
    </row>
    <row r="52">
      <c r="B52" s="15" t="inlineStr">
        <is>
          <t>الأسبوع الأول /  ذو الحجة - 1447</t>
        </is>
      </c>
      <c r="C52" s="16" t="inlineStr">
        <is>
          <t>حشد المميزين من ينابيع وبصائر عددهم 16 فرد</t>
        </is>
      </c>
      <c r="D52" s="16" t="inlineStr">
        <is>
          <t>محمد محي</t>
        </is>
      </c>
      <c r="E52" s="17" t="inlineStr">
        <is>
          <t>تم</t>
        </is>
      </c>
    </row>
    <row r="53">
      <c r="B53" s="15" t="inlineStr">
        <is>
          <t>الأسبوع الأول /  ذو الحجة - 1447</t>
        </is>
      </c>
      <c r="C53" s="16" t="inlineStr">
        <is>
          <t>حجز اربعة اجهزة بلايستيشن وشاشتين</t>
        </is>
      </c>
      <c r="D53" s="16" t="inlineStr">
        <is>
          <t>أحمد طاهر</t>
        </is>
      </c>
      <c r="E53" s="17" t="inlineStr">
        <is>
          <t>تم</t>
        </is>
      </c>
    </row>
    <row r="54">
      <c r="B54" s="15" t="inlineStr">
        <is>
          <t>الأسبوع الأول /  ذو الحجة - 1447</t>
        </is>
      </c>
      <c r="C54" s="24" t="inlineStr">
        <is>
          <t xml:space="preserve">عمل تصميم خاص بالدورة </t>
        </is>
      </c>
      <c r="D54" s="16" t="inlineStr">
        <is>
          <t>محمد محي</t>
        </is>
      </c>
      <c r="E54" s="17" t="inlineStr">
        <is>
          <t>تم</t>
        </is>
      </c>
    </row>
    <row r="55">
      <c r="B55" s="15" t="inlineStr">
        <is>
          <t>الأسبوع الأول /  ذو الحجة - 1447</t>
        </is>
      </c>
      <c r="C55" s="16" t="inlineStr">
        <is>
          <t>ارسال إعلان فاعلية دورة البلايستيشن وتفاصيلها للشباب المستهدف</t>
        </is>
      </c>
      <c r="D55" s="16" t="inlineStr">
        <is>
          <t>محمد محي</t>
        </is>
      </c>
      <c r="E55" s="17" t="inlineStr">
        <is>
          <t>تم</t>
        </is>
      </c>
    </row>
    <row r="56">
      <c r="B56" s="15" t="inlineStr">
        <is>
          <t>الأسبوع الأول /  ذو الحجة - 1447</t>
        </is>
      </c>
      <c r="C56" s="16" t="inlineStr">
        <is>
          <t>المسؤول عن وضع لائحة دورة البلايستيشن والضيافة يوم الدورة</t>
        </is>
      </c>
      <c r="D56" s="16" t="inlineStr">
        <is>
          <t>محمد إيهاب</t>
        </is>
      </c>
      <c r="E56" s="17" t="inlineStr">
        <is>
          <t>تم</t>
        </is>
      </c>
    </row>
    <row r="57">
      <c r="B57" s="15" t="inlineStr">
        <is>
          <t>الأسبوع الأول /  ذو الحجة - 1447</t>
        </is>
      </c>
      <c r="C57" s="16" t="inlineStr">
        <is>
          <t>شراء تيشيرتين جائزة الفئزين بالمركز الأول</t>
        </is>
      </c>
      <c r="D57" s="16" t="inlineStr">
        <is>
          <t>أحمد حمادة</t>
        </is>
      </c>
      <c r="E57" s="17" t="inlineStr">
        <is>
          <t>تم</t>
        </is>
      </c>
    </row>
    <row r="58">
      <c r="B58" s="25" t="n"/>
      <c r="C58" s="26" t="n"/>
      <c r="D58" s="26" t="n"/>
      <c r="E58" s="17" t="n"/>
    </row>
    <row r="59">
      <c r="B59" s="15" t="inlineStr">
        <is>
          <t>الأسبوع الثالث /  ذو الحجة - 1447</t>
        </is>
      </c>
      <c r="C59" s="95" t="inlineStr">
        <is>
          <t xml:space="preserve">ترتيب معاد زيارة مستشفي ناصر </t>
        </is>
      </c>
      <c r="D59" s="16" t="inlineStr">
        <is>
          <t>آدم</t>
        </is>
      </c>
      <c r="E59" s="17" t="inlineStr">
        <is>
          <t>تم</t>
        </is>
      </c>
    </row>
    <row r="60">
      <c r="B60" s="15" t="inlineStr">
        <is>
          <t>الأسبوع الثالث /  ذو الحجة - 1447</t>
        </is>
      </c>
      <c r="C60" s="95" t="inlineStr">
        <is>
          <t>عمل شيت لحصر اسماء الشباب الجدد من الفاعليات</t>
        </is>
      </c>
      <c r="D60" s="16" t="inlineStr">
        <is>
          <t>محمد إيهاب</t>
        </is>
      </c>
      <c r="E60" s="17" t="inlineStr">
        <is>
          <t>تم</t>
        </is>
      </c>
    </row>
    <row r="61">
      <c r="B61" s="15" t="inlineStr">
        <is>
          <t>الأسبوع الثالث /  ذو الحجة - 1447</t>
        </is>
      </c>
      <c r="C61" s="95" t="inlineStr">
        <is>
          <t xml:space="preserve">ترتيب مع محاضر لغة اجنبية لعمل كورس مستوي اول </t>
        </is>
      </c>
      <c r="D61" s="16" t="inlineStr">
        <is>
          <t>محمد محي</t>
        </is>
      </c>
      <c r="E61" s="17" t="inlineStr">
        <is>
          <t>تم</t>
        </is>
      </c>
    </row>
    <row r="62">
      <c r="B62" s="15" t="inlineStr">
        <is>
          <t>الأسبوع الرابع /  ذو الحجة - 1447</t>
        </is>
      </c>
      <c r="C62" s="96" t="inlineStr">
        <is>
          <t>التواصل مع د أحمد حمدي لمعرفة إمكانية إحضار د أحمد حمدي</t>
        </is>
      </c>
      <c r="D62" s="16" t="inlineStr">
        <is>
          <t>محمد إيهاب</t>
        </is>
      </c>
      <c r="E62" s="17" t="inlineStr">
        <is>
          <t>تم</t>
        </is>
      </c>
    </row>
    <row r="63">
      <c r="B63" s="15" t="inlineStr">
        <is>
          <t>الأسبوع الرابع /  ذو الحجة - 1447</t>
        </is>
      </c>
      <c r="C63" s="96" t="inlineStr">
        <is>
          <t>معرفة اسم مدير مكتبة شبرا في مسطرد و المعاد المناسب لزيارة المكتبة بشكل رسمي</t>
        </is>
      </c>
      <c r="D63" s="16" t="inlineStr">
        <is>
          <t>آدم</t>
        </is>
      </c>
      <c r="E63" s="17" t="n"/>
    </row>
    <row r="64">
      <c r="B64" s="15" t="inlineStr">
        <is>
          <t>الأسبوع الرابع /  ذو الحجة - 1447</t>
        </is>
      </c>
      <c r="C64" s="96" t="inlineStr">
        <is>
          <t>رفع واقع الجولات للفنيين</t>
        </is>
      </c>
      <c r="D64" s="16" t="inlineStr">
        <is>
          <t>محمد إيهاب</t>
        </is>
      </c>
      <c r="E64" s="17" t="n"/>
    </row>
    <row r="65">
      <c r="B65" s="15" t="inlineStr">
        <is>
          <t>الأسبوع الرابع /  ذو الحجة - 1447</t>
        </is>
      </c>
      <c r="C65" s="96" t="inlineStr">
        <is>
          <t>عمل بوستر لكورس اللغة الإنجليزية</t>
        </is>
      </c>
      <c r="D65" s="16" t="inlineStr">
        <is>
          <t>محمد محي</t>
        </is>
      </c>
      <c r="E65" s="17" t="n"/>
    </row>
    <row r="66">
      <c r="B66" s="15" t="inlineStr">
        <is>
          <t>الأسبوع الرابع /  ذو الحجة - 1448</t>
        </is>
      </c>
      <c r="C66" s="95" t="inlineStr">
        <is>
          <t>عمل فورم تسجيل أونلاين في كورس اللغة الإنجليزية</t>
        </is>
      </c>
      <c r="D66" s="16" t="inlineStr">
        <is>
          <t>محمد إيهاب</t>
        </is>
      </c>
      <c r="E66" s="17" t="n"/>
    </row>
    <row r="67">
      <c r="B67" s="15" t="n"/>
      <c r="C67" s="16" t="n"/>
      <c r="D67" s="16" t="n"/>
      <c r="E67" s="17" t="n"/>
    </row>
    <row r="68">
      <c r="B68" s="15" t="n"/>
      <c r="C68" s="16" t="n"/>
      <c r="D68" s="16" t="n"/>
      <c r="E68" s="17" t="n"/>
    </row>
    <row r="69">
      <c r="B69" s="15" t="n"/>
      <c r="C69" s="16" t="n"/>
      <c r="D69" s="16" t="n"/>
      <c r="E69" s="17" t="n"/>
    </row>
    <row r="70">
      <c r="B70" s="15" t="n"/>
      <c r="C70" s="16" t="n"/>
      <c r="D70" s="16" t="n"/>
      <c r="E70" s="17" t="n"/>
    </row>
    <row r="71">
      <c r="B71" s="15" t="n"/>
      <c r="C71" s="16" t="n"/>
      <c r="D71" s="16" t="n"/>
      <c r="E71" s="17" t="n"/>
    </row>
    <row r="72">
      <c r="B72" s="15" t="n"/>
      <c r="C72" s="16" t="n"/>
      <c r="D72" s="16" t="n"/>
      <c r="E72" s="17" t="n"/>
    </row>
    <row r="73">
      <c r="B73" s="15" t="n"/>
      <c r="C73" s="16" t="n"/>
      <c r="D73" s="16" t="n"/>
      <c r="E73" s="17" t="n"/>
    </row>
    <row r="74">
      <c r="B74" s="15" t="n"/>
      <c r="C74" s="16" t="n"/>
      <c r="D74" s="16" t="n"/>
      <c r="E74" s="17" t="n"/>
    </row>
    <row r="75">
      <c r="B75" s="15" t="n"/>
      <c r="C75" s="16" t="n"/>
      <c r="D75" s="16" t="n"/>
      <c r="E75" s="17" t="n"/>
    </row>
    <row r="76">
      <c r="B76" s="15" t="n"/>
      <c r="C76" s="16" t="n"/>
      <c r="D76" s="16" t="n"/>
      <c r="E76" s="17" t="n"/>
    </row>
    <row r="77">
      <c r="B77" s="15" t="n"/>
      <c r="C77" s="16" t="n"/>
      <c r="D77" s="16" t="n"/>
      <c r="E77" s="17" t="n"/>
    </row>
    <row r="78">
      <c r="B78" s="15" t="n"/>
      <c r="C78" s="16" t="n"/>
      <c r="D78" s="16" t="n"/>
      <c r="E78" s="17" t="n"/>
    </row>
    <row r="79">
      <c r="B79" s="15" t="n"/>
      <c r="C79" s="16" t="n"/>
      <c r="D79" s="16" t="n"/>
      <c r="E79" s="17" t="n"/>
    </row>
    <row r="80">
      <c r="B80" s="15" t="n"/>
      <c r="C80" s="16" t="n"/>
      <c r="D80" s="16" t="n"/>
      <c r="E80" s="17" t="n"/>
    </row>
    <row r="81">
      <c r="B81" s="15" t="n"/>
      <c r="C81" s="16" t="n"/>
      <c r="D81" s="16" t="n"/>
      <c r="E81" s="17" t="n"/>
    </row>
    <row r="82">
      <c r="B82" s="15" t="n"/>
      <c r="C82" s="16" t="n"/>
      <c r="D82" s="16" t="n"/>
      <c r="E82" s="17" t="n"/>
    </row>
    <row r="83">
      <c r="B83" s="15" t="n"/>
      <c r="C83" s="16" t="n"/>
      <c r="D83" s="16" t="n"/>
      <c r="E83" s="17" t="n"/>
    </row>
    <row r="84">
      <c r="B84" s="15" t="n"/>
      <c r="C84" s="16" t="n"/>
      <c r="D84" s="16" t="n"/>
      <c r="E84" s="17" t="n"/>
    </row>
    <row r="85">
      <c r="B85" s="15" t="n"/>
      <c r="C85" s="16" t="n"/>
      <c r="D85" s="16" t="n"/>
      <c r="E85" s="17" t="n"/>
    </row>
    <row r="86">
      <c r="B86" s="15" t="n"/>
      <c r="C86" s="16" t="n"/>
      <c r="D86" s="16" t="n"/>
      <c r="E86" s="17" t="n"/>
    </row>
    <row r="87">
      <c r="B87" s="15" t="n"/>
      <c r="C87" s="16" t="n"/>
      <c r="D87" s="16" t="n"/>
      <c r="E87" s="17" t="n"/>
    </row>
    <row r="88">
      <c r="B88" s="15" t="n"/>
      <c r="C88" s="16" t="n"/>
      <c r="D88" s="16" t="n"/>
      <c r="E88" s="17" t="n"/>
    </row>
    <row r="89">
      <c r="B89" s="15" t="n"/>
      <c r="C89" s="16" t="n"/>
      <c r="D89" s="16" t="n"/>
      <c r="E89" s="17" t="n"/>
    </row>
    <row r="90">
      <c r="B90" s="15" t="n"/>
      <c r="C90" s="16" t="n"/>
      <c r="D90" s="16" t="n"/>
      <c r="E90" s="17" t="n"/>
    </row>
    <row r="91">
      <c r="B91" s="15" t="n"/>
      <c r="C91" s="16" t="n"/>
      <c r="D91" s="16" t="n"/>
      <c r="E91" s="17" t="n"/>
    </row>
    <row r="92">
      <c r="B92" s="15" t="n"/>
      <c r="C92" s="16" t="n"/>
      <c r="D92" s="16" t="n"/>
      <c r="E92" s="17" t="n"/>
    </row>
    <row r="93">
      <c r="B93" s="15" t="n"/>
      <c r="C93" s="16" t="n"/>
      <c r="D93" s="16" t="n"/>
      <c r="E93" s="17" t="n"/>
    </row>
    <row r="94">
      <c r="B94" s="15" t="n"/>
      <c r="C94" s="16" t="n"/>
      <c r="D94" s="16" t="n"/>
      <c r="E94" s="17" t="n"/>
    </row>
    <row r="95">
      <c r="B95" s="15" t="n"/>
      <c r="C95" s="16" t="n"/>
      <c r="D95" s="16" t="n"/>
      <c r="E95" s="17" t="n"/>
    </row>
    <row r="96">
      <c r="B96" s="15" t="n"/>
      <c r="C96" s="16" t="n"/>
      <c r="D96" s="16" t="n"/>
      <c r="E96" s="17" t="n"/>
    </row>
    <row r="97">
      <c r="B97" s="15" t="n"/>
      <c r="C97" s="16" t="n"/>
      <c r="D97" s="16" t="n"/>
      <c r="E97" s="17" t="n"/>
    </row>
    <row r="98">
      <c r="B98" s="15" t="n"/>
      <c r="C98" s="16" t="n"/>
      <c r="D98" s="16" t="n"/>
      <c r="E98" s="17" t="n"/>
    </row>
    <row r="99">
      <c r="B99" s="15" t="n"/>
      <c r="C99" s="16" t="n"/>
      <c r="D99" s="16" t="n"/>
      <c r="E99" s="17" t="n"/>
    </row>
    <row r="100">
      <c r="B100" s="15" t="n"/>
      <c r="C100" s="16" t="n"/>
      <c r="D100" s="16" t="n"/>
      <c r="E100" s="17" t="n"/>
    </row>
    <row r="101">
      <c r="B101" s="15" t="n"/>
      <c r="C101" s="16" t="n"/>
      <c r="D101" s="16" t="n"/>
      <c r="E101" s="17" t="n"/>
    </row>
    <row r="102">
      <c r="B102" s="15" t="n"/>
      <c r="C102" s="16" t="n"/>
      <c r="D102" s="16" t="n"/>
      <c r="E102" s="17" t="n"/>
    </row>
    <row r="103">
      <c r="B103" s="15" t="n"/>
      <c r="C103" s="16" t="n"/>
      <c r="D103" s="16" t="n"/>
      <c r="E103" s="17" t="n"/>
    </row>
    <row r="104">
      <c r="B104" s="15" t="n"/>
      <c r="C104" s="16" t="n"/>
      <c r="D104" s="16" t="n"/>
      <c r="E104" s="17" t="n"/>
    </row>
    <row r="105">
      <c r="B105" s="15" t="n"/>
      <c r="C105" s="16" t="n"/>
      <c r="D105" s="16" t="n"/>
      <c r="E105" s="17" t="n"/>
    </row>
    <row r="106">
      <c r="B106" s="15" t="n"/>
      <c r="C106" s="16" t="n"/>
      <c r="D106" s="16" t="n"/>
      <c r="E106" s="17" t="n"/>
    </row>
    <row r="107">
      <c r="B107" s="15" t="n"/>
      <c r="C107" s="16" t="n"/>
      <c r="D107" s="16" t="n"/>
      <c r="E107" s="17" t="n"/>
    </row>
    <row r="108">
      <c r="B108" s="15" t="n"/>
      <c r="C108" s="16" t="n"/>
      <c r="D108" s="16" t="n"/>
      <c r="E108" s="17" t="n"/>
    </row>
    <row r="109">
      <c r="B109" s="15" t="n"/>
      <c r="C109" s="16" t="n"/>
      <c r="D109" s="16" t="n"/>
      <c r="E109" s="17" t="n"/>
    </row>
    <row r="110">
      <c r="B110" s="15" t="n"/>
      <c r="C110" s="16" t="n"/>
      <c r="D110" s="16" t="n"/>
      <c r="E110" s="17" t="n"/>
    </row>
    <row r="111">
      <c r="B111" s="15" t="n"/>
      <c r="C111" s="16" t="n"/>
      <c r="D111" s="16" t="n"/>
      <c r="E111" s="17" t="n"/>
    </row>
    <row r="112">
      <c r="B112" s="15" t="n"/>
      <c r="C112" s="16" t="n"/>
      <c r="D112" s="16" t="n"/>
      <c r="E112" s="17" t="n"/>
    </row>
    <row r="113">
      <c r="B113" s="15" t="n"/>
      <c r="C113" s="16" t="n"/>
      <c r="D113" s="16" t="n"/>
      <c r="E113" s="17" t="n"/>
    </row>
    <row r="114">
      <c r="B114" s="15" t="n"/>
      <c r="C114" s="16" t="n"/>
      <c r="D114" s="16" t="n"/>
      <c r="E114" s="17" t="n"/>
    </row>
    <row r="115">
      <c r="B115" s="15" t="n"/>
      <c r="C115" s="16" t="n"/>
      <c r="D115" s="16" t="n"/>
      <c r="E115" s="17" t="n"/>
    </row>
    <row r="116">
      <c r="B116" s="15" t="n"/>
      <c r="C116" s="16" t="n"/>
      <c r="D116" s="16" t="n"/>
      <c r="E116" s="17" t="n"/>
    </row>
    <row r="117">
      <c r="B117" s="15" t="n"/>
      <c r="C117" s="16" t="n"/>
      <c r="D117" s="16" t="n"/>
      <c r="E117" s="17" t="n"/>
    </row>
    <row r="118">
      <c r="B118" s="15" t="n"/>
      <c r="C118" s="16" t="n"/>
      <c r="D118" s="16" t="n"/>
      <c r="E118" s="17" t="n"/>
    </row>
    <row r="119">
      <c r="B119" s="15" t="n"/>
      <c r="C119" s="16" t="n"/>
      <c r="D119" s="16" t="n"/>
      <c r="E119" s="17" t="n"/>
    </row>
    <row r="120">
      <c r="B120" s="15" t="n"/>
      <c r="C120" s="16" t="n"/>
      <c r="D120" s="16" t="n"/>
      <c r="E120" s="17" t="n"/>
    </row>
    <row r="121">
      <c r="B121" s="15" t="n"/>
      <c r="C121" s="16" t="n"/>
      <c r="D121" s="16" t="n"/>
      <c r="E121" s="17" t="n"/>
    </row>
    <row r="122">
      <c r="B122" s="15" t="n"/>
      <c r="C122" s="16" t="n"/>
      <c r="D122" s="16" t="n"/>
      <c r="E122" s="17" t="n"/>
    </row>
    <row r="123">
      <c r="B123" s="15" t="n"/>
      <c r="C123" s="16" t="n"/>
      <c r="D123" s="16" t="n"/>
      <c r="E123" s="17" t="n"/>
    </row>
    <row r="124">
      <c r="B124" s="15" t="n"/>
      <c r="C124" s="16" t="n"/>
      <c r="D124" s="16" t="n"/>
      <c r="E124" s="17" t="n"/>
    </row>
    <row r="125">
      <c r="B125" s="15" t="n"/>
      <c r="C125" s="16" t="n"/>
      <c r="D125" s="16" t="n"/>
      <c r="E125" s="17" t="n"/>
    </row>
    <row r="126">
      <c r="B126" s="15" t="n"/>
      <c r="C126" s="16" t="n"/>
      <c r="D126" s="16" t="n"/>
      <c r="E126" s="17" t="n"/>
    </row>
    <row r="127">
      <c r="B127" s="15" t="n"/>
      <c r="C127" s="16" t="n"/>
      <c r="D127" s="16" t="n"/>
      <c r="E127" s="17" t="n"/>
    </row>
    <row r="128">
      <c r="B128" s="15" t="n"/>
      <c r="C128" s="16" t="n"/>
      <c r="D128" s="16" t="n"/>
      <c r="E128" s="17" t="n"/>
    </row>
    <row r="129">
      <c r="B129" s="15" t="n"/>
      <c r="C129" s="16" t="n"/>
      <c r="D129" s="16" t="n"/>
      <c r="E129" s="17" t="n"/>
    </row>
    <row r="130">
      <c r="B130" s="15" t="n"/>
      <c r="C130" s="16" t="n"/>
      <c r="D130" s="16" t="n"/>
      <c r="E130" s="17" t="n"/>
    </row>
    <row r="131">
      <c r="B131" s="15" t="n"/>
      <c r="C131" s="16" t="n"/>
      <c r="D131" s="16" t="n"/>
      <c r="E131" s="17" t="n"/>
    </row>
    <row r="132">
      <c r="B132" s="15" t="n"/>
      <c r="C132" s="16" t="n"/>
      <c r="D132" s="16" t="n"/>
      <c r="E132" s="17" t="n"/>
    </row>
    <row r="133">
      <c r="B133" s="15" t="n"/>
      <c r="C133" s="16" t="n"/>
      <c r="D133" s="16" t="n"/>
      <c r="E133" s="17" t="n"/>
    </row>
    <row r="134">
      <c r="B134" s="15" t="n"/>
      <c r="C134" s="16" t="n"/>
      <c r="D134" s="16" t="n"/>
      <c r="E134" s="17" t="n"/>
    </row>
    <row r="135">
      <c r="B135" s="15" t="n"/>
      <c r="C135" s="16" t="n"/>
      <c r="D135" s="16" t="n"/>
      <c r="E135" s="17" t="n"/>
    </row>
    <row r="136">
      <c r="B136" s="15" t="n"/>
      <c r="C136" s="16" t="n"/>
      <c r="D136" s="16" t="n"/>
      <c r="E136" s="17" t="n"/>
    </row>
    <row r="137">
      <c r="B137" s="15" t="n"/>
      <c r="C137" s="16" t="n"/>
      <c r="D137" s="16" t="n"/>
      <c r="E137" s="17" t="n"/>
    </row>
    <row r="138">
      <c r="B138" s="15" t="n"/>
      <c r="C138" s="16" t="n"/>
      <c r="D138" s="16" t="n"/>
      <c r="E138" s="17" t="n"/>
    </row>
    <row r="139">
      <c r="B139" s="15" t="n"/>
      <c r="C139" s="16" t="n"/>
      <c r="D139" s="16" t="n"/>
      <c r="E139" s="17" t="n"/>
    </row>
    <row r="140">
      <c r="B140" s="15" t="n"/>
      <c r="C140" s="16" t="n"/>
      <c r="D140" s="16" t="n"/>
      <c r="E140" s="17" t="n"/>
    </row>
    <row r="141">
      <c r="B141" s="15" t="n"/>
      <c r="C141" s="16" t="n"/>
      <c r="D141" s="16" t="n"/>
      <c r="E141" s="17" t="n"/>
    </row>
    <row r="142">
      <c r="B142" s="15" t="n"/>
      <c r="C142" s="16" t="n"/>
      <c r="D142" s="16" t="n"/>
      <c r="E142" s="17" t="n"/>
    </row>
    <row r="143">
      <c r="B143" s="15" t="n"/>
      <c r="C143" s="16" t="n"/>
      <c r="D143" s="16" t="n"/>
      <c r="E143" s="17" t="n"/>
    </row>
    <row r="144">
      <c r="B144" s="15" t="n"/>
      <c r="C144" s="16" t="n"/>
      <c r="D144" s="16" t="n"/>
      <c r="E144" s="17" t="n"/>
    </row>
    <row r="145">
      <c r="B145" s="15" t="n"/>
      <c r="C145" s="16" t="n"/>
      <c r="D145" s="16" t="n"/>
      <c r="E145" s="17" t="n"/>
    </row>
    <row r="146">
      <c r="B146" s="15" t="n"/>
      <c r="C146" s="16" t="n"/>
      <c r="D146" s="16" t="n"/>
      <c r="E146" s="17" t="n"/>
    </row>
    <row r="147">
      <c r="B147" s="15" t="n"/>
      <c r="C147" s="16" t="n"/>
      <c r="D147" s="16" t="n"/>
      <c r="E147" s="17" t="n"/>
    </row>
    <row r="148">
      <c r="B148" s="15" t="n"/>
      <c r="C148" s="16" t="n"/>
      <c r="D148" s="16" t="n"/>
      <c r="E148" s="17" t="n"/>
    </row>
    <row r="149">
      <c r="B149" s="15" t="n"/>
      <c r="C149" s="16" t="n"/>
      <c r="D149" s="16" t="n"/>
      <c r="E149" s="17" t="n"/>
    </row>
    <row r="150">
      <c r="B150" s="15" t="n"/>
      <c r="C150" s="16" t="n"/>
      <c r="D150" s="16" t="n"/>
      <c r="E150" s="17" t="n"/>
    </row>
    <row r="151">
      <c r="B151" s="15" t="n"/>
      <c r="C151" s="16" t="n"/>
      <c r="D151" s="16" t="n"/>
      <c r="E151" s="17" t="n"/>
    </row>
    <row r="152">
      <c r="B152" s="15" t="n"/>
      <c r="C152" s="16" t="n"/>
      <c r="D152" s="16" t="n"/>
      <c r="E152" s="17" t="n"/>
    </row>
    <row r="153">
      <c r="B153" s="15" t="n"/>
      <c r="C153" s="16" t="n"/>
      <c r="D153" s="16" t="n"/>
      <c r="E153" s="17" t="n"/>
    </row>
    <row r="154">
      <c r="B154" s="15" t="n"/>
      <c r="C154" s="16" t="n"/>
      <c r="D154" s="16" t="n"/>
      <c r="E154" s="17" t="n"/>
    </row>
    <row r="155">
      <c r="B155" s="15" t="n"/>
      <c r="C155" s="16" t="n"/>
      <c r="D155" s="16" t="n"/>
      <c r="E155" s="17" t="n"/>
    </row>
    <row r="156">
      <c r="B156" s="15" t="n"/>
      <c r="C156" s="16" t="n"/>
      <c r="D156" s="16" t="n"/>
      <c r="E156" s="17" t="n"/>
    </row>
    <row r="157">
      <c r="B157" s="15" t="n"/>
      <c r="C157" s="16" t="n"/>
      <c r="D157" s="16" t="n"/>
      <c r="E157" s="17" t="n"/>
    </row>
    <row r="158">
      <c r="B158" s="15" t="n"/>
      <c r="C158" s="16" t="n"/>
      <c r="D158" s="16" t="n"/>
      <c r="E158" s="17" t="n"/>
    </row>
    <row r="159">
      <c r="B159" s="15" t="n"/>
      <c r="C159" s="16" t="n"/>
      <c r="D159" s="16" t="n"/>
      <c r="E159" s="17" t="n"/>
    </row>
    <row r="160">
      <c r="B160" s="15" t="n"/>
      <c r="C160" s="16" t="n"/>
      <c r="D160" s="16" t="n"/>
      <c r="E160" s="17" t="n"/>
    </row>
    <row r="161">
      <c r="B161" s="15" t="n"/>
      <c r="C161" s="16" t="n"/>
      <c r="D161" s="16" t="n"/>
      <c r="E161" s="17" t="n"/>
    </row>
    <row r="162">
      <c r="B162" s="15" t="n"/>
      <c r="C162" s="16" t="n"/>
      <c r="D162" s="16" t="n"/>
      <c r="E162" s="17" t="n"/>
    </row>
    <row r="163">
      <c r="B163" s="15" t="n"/>
      <c r="C163" s="16" t="n"/>
      <c r="D163" s="16" t="n"/>
      <c r="E163" s="17" t="n"/>
    </row>
    <row r="164">
      <c r="B164" s="15" t="n"/>
      <c r="C164" s="16" t="n"/>
      <c r="D164" s="16" t="n"/>
      <c r="E164" s="17" t="n"/>
    </row>
    <row r="165">
      <c r="B165" s="15" t="n"/>
      <c r="C165" s="16" t="n"/>
      <c r="D165" s="16" t="n"/>
      <c r="E165" s="17" t="n"/>
    </row>
    <row r="166">
      <c r="B166" s="15" t="n"/>
      <c r="C166" s="16" t="n"/>
      <c r="D166" s="16" t="n"/>
      <c r="E166" s="17" t="n"/>
    </row>
    <row r="167">
      <c r="B167" s="12" t="n"/>
      <c r="C167" s="13" t="n"/>
      <c r="D167" s="13" t="n"/>
      <c r="E167" s="14" t="n"/>
    </row>
    <row r="168">
      <c r="B168" s="15" t="n"/>
      <c r="C168" s="16" t="n"/>
      <c r="D168" s="16" t="n"/>
      <c r="E168" s="17" t="n"/>
    </row>
    <row r="169">
      <c r="B169" s="15" t="n"/>
      <c r="C169" s="16" t="n"/>
      <c r="D169" s="16" t="n"/>
      <c r="E169" s="17" t="n"/>
    </row>
    <row r="170">
      <c r="B170" s="15" t="n"/>
      <c r="C170" s="16" t="n"/>
      <c r="D170" s="16" t="n"/>
      <c r="E170" s="17" t="n"/>
    </row>
    <row r="171">
      <c r="B171" s="15" t="n"/>
      <c r="C171" s="16" t="n"/>
      <c r="D171" s="16" t="n"/>
      <c r="E171" s="17" t="n"/>
    </row>
    <row r="172">
      <c r="B172" s="15" t="n"/>
      <c r="C172" s="16" t="n"/>
      <c r="D172" s="16" t="n"/>
      <c r="E172" s="17" t="n"/>
    </row>
    <row r="173">
      <c r="B173" s="15" t="n"/>
      <c r="C173" s="16" t="n"/>
      <c r="D173" s="16" t="n"/>
      <c r="E173" s="17" t="n"/>
    </row>
    <row r="174">
      <c r="B174" s="15" t="n"/>
      <c r="C174" s="16" t="n"/>
      <c r="D174" s="16" t="n"/>
      <c r="E174" s="17" t="n"/>
    </row>
    <row r="175">
      <c r="B175" s="15" t="n"/>
      <c r="C175" s="16" t="n"/>
      <c r="D175" s="16" t="n"/>
      <c r="E175" s="17" t="n"/>
    </row>
    <row r="176">
      <c r="B176" s="15" t="n"/>
      <c r="C176" s="16" t="n"/>
      <c r="D176" s="16" t="n"/>
      <c r="E176" s="17" t="n"/>
    </row>
    <row r="177">
      <c r="B177" s="15" t="n"/>
      <c r="C177" s="16" t="n"/>
      <c r="D177" s="16" t="n"/>
      <c r="E177" s="17" t="n"/>
    </row>
    <row r="178">
      <c r="B178" s="15" t="n"/>
      <c r="C178" s="16" t="n"/>
      <c r="D178" s="16" t="n"/>
      <c r="E178" s="17" t="n"/>
    </row>
    <row r="179">
      <c r="B179" s="15" t="n"/>
      <c r="C179" s="16" t="n"/>
      <c r="D179" s="16" t="n"/>
      <c r="E179" s="17" t="n"/>
    </row>
    <row r="180">
      <c r="B180" s="15" t="n"/>
      <c r="C180" s="16" t="n"/>
      <c r="D180" s="16" t="n"/>
      <c r="E180" s="17" t="n"/>
    </row>
    <row r="181">
      <c r="B181" s="15" t="n"/>
      <c r="C181" s="16" t="n"/>
      <c r="D181" s="16" t="n"/>
      <c r="E181" s="17" t="n"/>
    </row>
    <row r="182">
      <c r="B182" s="15" t="n"/>
      <c r="C182" s="16" t="n"/>
      <c r="D182" s="16" t="n"/>
      <c r="E182" s="17" t="n"/>
    </row>
    <row r="183">
      <c r="B183" s="15" t="n"/>
      <c r="C183" s="16" t="n"/>
      <c r="D183" s="16" t="n"/>
      <c r="E183" s="17" t="n"/>
    </row>
    <row r="184">
      <c r="B184" s="15" t="n"/>
      <c r="C184" s="16" t="n"/>
      <c r="D184" s="16" t="n"/>
      <c r="E184" s="17" t="n"/>
    </row>
    <row r="185">
      <c r="B185" s="15" t="n"/>
      <c r="C185" s="16" t="n"/>
      <c r="D185" s="16" t="n"/>
      <c r="E185" s="17" t="n"/>
    </row>
    <row r="186">
      <c r="B186" s="15" t="n"/>
      <c r="C186" s="16" t="n"/>
      <c r="D186" s="16" t="n"/>
      <c r="E186" s="17" t="n"/>
    </row>
    <row r="187">
      <c r="B187" s="15" t="n"/>
      <c r="C187" s="16" t="n"/>
      <c r="D187" s="16" t="n"/>
      <c r="E187" s="17" t="n"/>
    </row>
    <row r="188">
      <c r="B188" s="15" t="n"/>
      <c r="C188" s="16" t="n"/>
      <c r="D188" s="16" t="n"/>
      <c r="E188" s="17" t="n"/>
    </row>
    <row r="189">
      <c r="B189" s="15" t="n"/>
      <c r="C189" s="16" t="n"/>
      <c r="D189" s="16" t="n"/>
      <c r="E189" s="17" t="n"/>
    </row>
    <row r="190">
      <c r="B190" s="15" t="n"/>
      <c r="C190" s="16" t="n"/>
      <c r="D190" s="16" t="n"/>
      <c r="E190" s="17" t="n"/>
    </row>
    <row r="191">
      <c r="B191" s="15" t="n"/>
      <c r="C191" s="16" t="n"/>
      <c r="D191" s="16" t="n"/>
      <c r="E191" s="17" t="n"/>
    </row>
    <row r="192">
      <c r="B192" s="15" t="n"/>
      <c r="C192" s="16" t="n"/>
      <c r="D192" s="16" t="n"/>
      <c r="E192" s="17" t="n"/>
    </row>
    <row r="193">
      <c r="B193" s="15" t="n"/>
      <c r="C193" s="16" t="n"/>
      <c r="D193" s="16" t="n"/>
      <c r="E193" s="17" t="n"/>
    </row>
    <row r="194">
      <c r="B194" s="15" t="n"/>
      <c r="C194" s="16" t="n"/>
      <c r="D194" s="16" t="n"/>
      <c r="E194" s="17" t="n"/>
    </row>
    <row r="195">
      <c r="B195" s="15" t="n"/>
      <c r="C195" s="16" t="n"/>
      <c r="D195" s="16" t="n"/>
      <c r="E195" s="17" t="n"/>
    </row>
    <row r="196">
      <c r="B196" s="15" t="n"/>
      <c r="C196" s="16" t="n"/>
      <c r="D196" s="16" t="n"/>
      <c r="E196" s="17" t="n"/>
    </row>
    <row r="197">
      <c r="B197" s="15" t="n"/>
      <c r="C197" s="16" t="n"/>
      <c r="D197" s="16" t="n"/>
      <c r="E197" s="17" t="n"/>
    </row>
    <row r="198">
      <c r="B198" s="15" t="n"/>
      <c r="C198" s="16" t="n"/>
      <c r="D198" s="16" t="n"/>
      <c r="E198" s="17" t="n"/>
    </row>
    <row r="199">
      <c r="B199" s="15" t="n"/>
      <c r="C199" s="16" t="n"/>
      <c r="D199" s="16" t="n"/>
      <c r="E199" s="17" t="n"/>
    </row>
    <row r="200">
      <c r="B200" s="15" t="n"/>
      <c r="C200" s="16" t="n"/>
      <c r="D200" s="16" t="n"/>
      <c r="E200" s="17" t="n"/>
    </row>
    <row r="201">
      <c r="B201" s="15" t="n"/>
      <c r="C201" s="16" t="n"/>
      <c r="D201" s="16" t="n"/>
      <c r="E201" s="17" t="n"/>
    </row>
    <row r="202">
      <c r="B202" s="15" t="n"/>
      <c r="C202" s="16" t="n"/>
      <c r="D202" s="16" t="n"/>
      <c r="E202" s="17" t="n"/>
    </row>
    <row r="203">
      <c r="B203" s="15" t="n"/>
      <c r="C203" s="16" t="n"/>
      <c r="D203" s="16" t="n"/>
      <c r="E203" s="17" t="n"/>
    </row>
    <row r="204">
      <c r="B204" s="15" t="n"/>
      <c r="C204" s="16" t="n"/>
      <c r="D204" s="16" t="n"/>
      <c r="E204" s="17" t="n"/>
    </row>
    <row r="205">
      <c r="B205" s="15" t="n"/>
      <c r="C205" s="16" t="n"/>
      <c r="D205" s="16" t="n"/>
      <c r="E205" s="17" t="n"/>
    </row>
    <row r="206">
      <c r="B206" s="15" t="n"/>
      <c r="C206" s="16" t="n"/>
      <c r="D206" s="16" t="n"/>
      <c r="E206" s="17" t="n"/>
    </row>
    <row r="207">
      <c r="B207" s="15" t="n"/>
      <c r="C207" s="16" t="n"/>
      <c r="D207" s="16" t="n"/>
      <c r="E207" s="17" t="n"/>
    </row>
    <row r="208">
      <c r="B208" s="15" t="n"/>
      <c r="C208" s="16" t="n"/>
      <c r="D208" s="16" t="n"/>
      <c r="E208" s="17" t="n"/>
    </row>
    <row r="209">
      <c r="B209" s="15" t="n"/>
      <c r="C209" s="16" t="n"/>
      <c r="D209" s="16" t="n"/>
      <c r="E209" s="17" t="n"/>
    </row>
    <row r="210">
      <c r="B210" s="15" t="n"/>
      <c r="C210" s="16" t="n"/>
      <c r="D210" s="16" t="n"/>
      <c r="E210" s="17" t="n"/>
    </row>
    <row r="211">
      <c r="B211" s="15" t="n"/>
      <c r="C211" s="16" t="n"/>
      <c r="D211" s="16" t="n"/>
      <c r="E211" s="17" t="n"/>
    </row>
    <row r="212">
      <c r="B212" s="15" t="n"/>
      <c r="C212" s="16" t="n"/>
      <c r="D212" s="16" t="n"/>
      <c r="E212" s="17" t="n"/>
    </row>
    <row r="213">
      <c r="B213" s="15" t="n"/>
      <c r="C213" s="16" t="n"/>
      <c r="D213" s="16" t="n"/>
      <c r="E213" s="17" t="n"/>
    </row>
    <row r="214">
      <c r="B214" s="15" t="n"/>
      <c r="C214" s="16" t="n"/>
      <c r="D214" s="16" t="n"/>
      <c r="E214" s="17" t="n"/>
    </row>
    <row r="215">
      <c r="B215" s="15" t="n"/>
      <c r="C215" s="16" t="n"/>
      <c r="D215" s="16" t="n"/>
      <c r="E215" s="17" t="n"/>
    </row>
    <row r="216">
      <c r="B216" s="15" t="n"/>
      <c r="C216" s="16" t="n"/>
      <c r="D216" s="16" t="n"/>
      <c r="E216" s="17" t="n"/>
    </row>
    <row r="217">
      <c r="B217" s="15" t="n"/>
      <c r="C217" s="16" t="n"/>
      <c r="D217" s="16" t="n"/>
      <c r="E217" s="17" t="n"/>
    </row>
    <row r="218">
      <c r="B218" s="15" t="n"/>
      <c r="C218" s="16" t="n"/>
      <c r="D218" s="16" t="n"/>
      <c r="E218" s="17" t="n"/>
    </row>
    <row r="219">
      <c r="B219" s="15" t="n"/>
      <c r="C219" s="16" t="n"/>
      <c r="D219" s="16" t="n"/>
      <c r="E219" s="17" t="n"/>
    </row>
    <row r="220">
      <c r="B220" s="15" t="n"/>
      <c r="C220" s="16" t="n"/>
      <c r="D220" s="16" t="n"/>
      <c r="E220" s="17" t="n"/>
    </row>
    <row r="221">
      <c r="B221" s="15" t="n"/>
      <c r="C221" s="16" t="n"/>
      <c r="D221" s="16" t="n"/>
      <c r="E221" s="17" t="n"/>
    </row>
    <row r="222">
      <c r="B222" s="15" t="n"/>
      <c r="C222" s="16" t="n"/>
      <c r="D222" s="16" t="n"/>
      <c r="E222" s="17" t="n"/>
    </row>
    <row r="223">
      <c r="B223" s="15" t="n"/>
      <c r="C223" s="16" t="n"/>
      <c r="D223" s="16" t="n"/>
      <c r="E223" s="17" t="n"/>
    </row>
    <row r="224">
      <c r="B224" s="15" t="n"/>
      <c r="C224" s="16" t="n"/>
      <c r="D224" s="16" t="n"/>
      <c r="E224" s="17" t="n"/>
    </row>
    <row r="225">
      <c r="B225" s="15" t="n"/>
      <c r="C225" s="16" t="n"/>
      <c r="D225" s="16" t="n"/>
      <c r="E225" s="17" t="n"/>
    </row>
    <row r="226">
      <c r="B226" s="15" t="n"/>
      <c r="C226" s="16" t="n"/>
      <c r="D226" s="16" t="n"/>
      <c r="E226" s="17" t="n"/>
    </row>
    <row r="227">
      <c r="B227" s="15" t="n"/>
      <c r="C227" s="16" t="n"/>
      <c r="D227" s="16" t="n"/>
      <c r="E227" s="17" t="n"/>
    </row>
    <row r="228">
      <c r="B228" s="15" t="n"/>
      <c r="C228" s="16" t="n"/>
      <c r="D228" s="16" t="n"/>
      <c r="E228" s="17" t="n"/>
    </row>
    <row r="229">
      <c r="B229" s="15" t="n"/>
      <c r="C229" s="16" t="n"/>
      <c r="D229" s="16" t="n"/>
      <c r="E229" s="17" t="n"/>
    </row>
    <row r="230">
      <c r="B230" s="15" t="n"/>
      <c r="C230" s="16" t="n"/>
      <c r="D230" s="16" t="n"/>
      <c r="E230" s="17" t="n"/>
    </row>
    <row r="231">
      <c r="B231" s="15" t="n"/>
      <c r="C231" s="16" t="n"/>
      <c r="D231" s="16" t="n"/>
      <c r="E231" s="17" t="n"/>
    </row>
    <row r="232">
      <c r="B232" s="15" t="n"/>
      <c r="C232" s="16" t="n"/>
      <c r="D232" s="16" t="n"/>
      <c r="E232" s="17" t="n"/>
    </row>
    <row r="233">
      <c r="B233" s="15" t="n"/>
      <c r="C233" s="16" t="n"/>
      <c r="D233" s="16" t="n"/>
      <c r="E233" s="17" t="n"/>
    </row>
    <row r="234">
      <c r="B234" s="15" t="n"/>
      <c r="C234" s="16" t="n"/>
      <c r="D234" s="16" t="n"/>
      <c r="E234" s="17" t="n"/>
    </row>
    <row r="235">
      <c r="B235" s="15" t="n"/>
      <c r="C235" s="16" t="n"/>
      <c r="D235" s="16" t="n"/>
      <c r="E235" s="17" t="n"/>
    </row>
    <row r="236">
      <c r="B236" s="15" t="n"/>
      <c r="C236" s="16" t="n"/>
      <c r="D236" s="16" t="n"/>
      <c r="E236" s="17" t="n"/>
    </row>
    <row r="237">
      <c r="B237" s="15" t="n"/>
      <c r="C237" s="16" t="n"/>
      <c r="D237" s="16" t="n"/>
      <c r="E237" s="17" t="n"/>
    </row>
    <row r="238">
      <c r="B238" s="15" t="n"/>
      <c r="C238" s="16" t="n"/>
      <c r="D238" s="16" t="n"/>
      <c r="E238" s="17" t="n"/>
    </row>
    <row r="239">
      <c r="B239" s="15" t="n"/>
      <c r="C239" s="16" t="n"/>
      <c r="D239" s="16" t="n"/>
      <c r="E239" s="17" t="n"/>
    </row>
    <row r="240">
      <c r="B240" s="15" t="n"/>
      <c r="C240" s="16" t="n"/>
      <c r="D240" s="16" t="n"/>
      <c r="E240" s="17" t="n"/>
    </row>
    <row r="241">
      <c r="B241" s="15" t="n"/>
      <c r="C241" s="16" t="n"/>
      <c r="D241" s="16" t="n"/>
      <c r="E241" s="17" t="n"/>
    </row>
    <row r="242">
      <c r="B242" s="15" t="n"/>
      <c r="C242" s="16" t="n"/>
      <c r="D242" s="16" t="n"/>
      <c r="E242" s="17" t="n"/>
    </row>
    <row r="243">
      <c r="B243" s="15" t="n"/>
      <c r="C243" s="16" t="n"/>
      <c r="D243" s="16" t="n"/>
      <c r="E243" s="17" t="n"/>
    </row>
    <row r="244">
      <c r="B244" s="15" t="n"/>
      <c r="C244" s="16" t="n"/>
      <c r="D244" s="16" t="n"/>
      <c r="E244" s="17" t="n"/>
    </row>
    <row r="245">
      <c r="B245" s="15" t="n"/>
      <c r="C245" s="16" t="n"/>
      <c r="D245" s="16" t="n"/>
      <c r="E245" s="17" t="n"/>
    </row>
    <row r="246">
      <c r="B246" s="15" t="n"/>
      <c r="C246" s="16" t="n"/>
      <c r="D246" s="16" t="n"/>
      <c r="E246" s="17" t="n"/>
    </row>
    <row r="247">
      <c r="B247" s="15" t="n"/>
      <c r="C247" s="16" t="n"/>
      <c r="D247" s="16" t="n"/>
      <c r="E247" s="17" t="n"/>
    </row>
    <row r="248">
      <c r="B248" s="15" t="n"/>
      <c r="C248" s="16" t="n"/>
      <c r="D248" s="16" t="n"/>
      <c r="E248" s="17" t="n"/>
    </row>
    <row r="249">
      <c r="B249" s="15" t="n"/>
      <c r="C249" s="16" t="n"/>
      <c r="D249" s="16" t="n"/>
      <c r="E249" s="17" t="n"/>
    </row>
    <row r="250">
      <c r="B250" s="15" t="n"/>
      <c r="C250" s="16" t="n"/>
      <c r="D250" s="16" t="n"/>
      <c r="E250" s="17" t="n"/>
    </row>
    <row r="251">
      <c r="B251" s="15" t="n"/>
      <c r="C251" s="16" t="n"/>
      <c r="D251" s="16" t="n"/>
      <c r="E251" s="17" t="n"/>
    </row>
    <row r="252">
      <c r="B252" s="15" t="n"/>
      <c r="C252" s="16" t="n"/>
      <c r="D252" s="16" t="n"/>
      <c r="E252" s="17" t="n"/>
    </row>
    <row r="253">
      <c r="B253" s="15" t="n"/>
      <c r="C253" s="16" t="n"/>
      <c r="D253" s="16" t="n"/>
      <c r="E253" s="17" t="n"/>
    </row>
    <row r="254">
      <c r="B254" s="15" t="n"/>
      <c r="C254" s="16" t="n"/>
      <c r="D254" s="16" t="n"/>
      <c r="E254" s="17" t="n"/>
    </row>
    <row r="255">
      <c r="B255" s="15" t="n"/>
      <c r="C255" s="16" t="n"/>
      <c r="D255" s="16" t="n"/>
      <c r="E255" s="17" t="n"/>
    </row>
    <row r="256">
      <c r="B256" s="15" t="n"/>
      <c r="C256" s="16" t="n"/>
      <c r="D256" s="16" t="n"/>
      <c r="E256" s="17" t="n"/>
    </row>
    <row r="257">
      <c r="B257" s="15" t="n"/>
      <c r="C257" s="16" t="n"/>
      <c r="D257" s="16" t="n"/>
      <c r="E257" s="17" t="n"/>
    </row>
    <row r="258">
      <c r="B258" s="15" t="n"/>
      <c r="C258" s="16" t="n"/>
      <c r="D258" s="16" t="n"/>
      <c r="E258" s="17" t="n"/>
    </row>
    <row r="259">
      <c r="B259" s="15" t="n"/>
      <c r="C259" s="16" t="n"/>
      <c r="D259" s="16" t="n"/>
      <c r="E259" s="17" t="n"/>
    </row>
    <row r="260">
      <c r="B260" s="15" t="n"/>
      <c r="C260" s="16" t="n"/>
      <c r="D260" s="16" t="n"/>
      <c r="E260" s="17" t="n"/>
    </row>
    <row r="261">
      <c r="B261" s="15" t="n"/>
      <c r="C261" s="16" t="n"/>
      <c r="D261" s="16" t="n"/>
      <c r="E261" s="17" t="n"/>
    </row>
    <row r="262">
      <c r="B262" s="15" t="n"/>
      <c r="C262" s="16" t="n"/>
      <c r="D262" s="16" t="n"/>
      <c r="E262" s="17" t="n"/>
    </row>
    <row r="263">
      <c r="B263" s="15" t="n"/>
      <c r="C263" s="16" t="n"/>
      <c r="D263" s="16" t="n"/>
      <c r="E263" s="17" t="n"/>
    </row>
    <row r="264">
      <c r="B264" s="15" t="n"/>
      <c r="C264" s="16" t="n"/>
      <c r="D264" s="16" t="n"/>
      <c r="E264" s="17" t="n"/>
    </row>
    <row r="265">
      <c r="B265" s="15" t="n"/>
      <c r="C265" s="16" t="n"/>
      <c r="D265" s="16" t="n"/>
      <c r="E265" s="17" t="n"/>
    </row>
    <row r="266">
      <c r="B266" s="15" t="n"/>
      <c r="C266" s="16" t="n"/>
      <c r="D266" s="16" t="n"/>
      <c r="E266" s="17" t="n"/>
    </row>
    <row r="267">
      <c r="B267" s="15" t="n"/>
      <c r="C267" s="16" t="n"/>
      <c r="D267" s="16" t="n"/>
      <c r="E267" s="17" t="n"/>
    </row>
    <row r="268">
      <c r="B268" s="15" t="n"/>
      <c r="C268" s="16" t="n"/>
      <c r="D268" s="16" t="n"/>
      <c r="E268" s="17" t="n"/>
    </row>
    <row r="269">
      <c r="B269" s="15" t="n"/>
      <c r="C269" s="16" t="n"/>
      <c r="D269" s="16" t="n"/>
      <c r="E269" s="17" t="n"/>
    </row>
    <row r="270">
      <c r="B270" s="15" t="n"/>
      <c r="C270" s="16" t="n"/>
      <c r="D270" s="16" t="n"/>
      <c r="E270" s="17" t="n"/>
    </row>
    <row r="271">
      <c r="B271" s="15" t="n"/>
      <c r="C271" s="16" t="n"/>
      <c r="D271" s="16" t="n"/>
      <c r="E271" s="17" t="n"/>
    </row>
    <row r="272">
      <c r="B272" s="15" t="n"/>
      <c r="C272" s="16" t="n"/>
      <c r="D272" s="16" t="n"/>
      <c r="E272" s="17" t="n"/>
    </row>
    <row r="273">
      <c r="B273" s="15" t="n"/>
      <c r="C273" s="16" t="n"/>
      <c r="D273" s="16" t="n"/>
      <c r="E273" s="17" t="n"/>
    </row>
    <row r="274">
      <c r="B274" s="15" t="n"/>
      <c r="C274" s="16" t="n"/>
      <c r="D274" s="16" t="n"/>
      <c r="E274" s="17" t="n"/>
    </row>
    <row r="275">
      <c r="B275" s="15" t="n"/>
      <c r="C275" s="16" t="n"/>
      <c r="D275" s="16" t="n"/>
      <c r="E275" s="17" t="n"/>
    </row>
    <row r="276">
      <c r="B276" s="15" t="n"/>
      <c r="C276" s="16" t="n"/>
      <c r="D276" s="16" t="n"/>
      <c r="E276" s="17" t="n"/>
    </row>
    <row r="277">
      <c r="B277" s="15" t="n"/>
      <c r="C277" s="16" t="n"/>
      <c r="D277" s="16" t="n"/>
      <c r="E277" s="17" t="n"/>
    </row>
    <row r="278">
      <c r="B278" s="15" t="n"/>
      <c r="C278" s="16" t="n"/>
      <c r="D278" s="16" t="n"/>
      <c r="E278" s="17" t="n"/>
    </row>
    <row r="279">
      <c r="B279" s="15" t="n"/>
      <c r="C279" s="16" t="n"/>
      <c r="D279" s="16" t="n"/>
      <c r="E279" s="17" t="n"/>
    </row>
    <row r="280">
      <c r="B280" s="15" t="n"/>
      <c r="C280" s="16" t="n"/>
      <c r="D280" s="16" t="n"/>
      <c r="E280" s="17" t="n"/>
    </row>
    <row r="281">
      <c r="B281" s="15" t="n"/>
      <c r="C281" s="16" t="n"/>
      <c r="D281" s="16" t="n"/>
      <c r="E281" s="17" t="n"/>
    </row>
    <row r="282">
      <c r="B282" s="15" t="n"/>
      <c r="C282" s="16" t="n"/>
      <c r="D282" s="16" t="n"/>
      <c r="E282" s="17" t="n"/>
    </row>
    <row r="283">
      <c r="B283" s="15" t="n"/>
      <c r="C283" s="16" t="n"/>
      <c r="D283" s="16" t="n"/>
      <c r="E283" s="17" t="n"/>
    </row>
    <row r="284">
      <c r="B284" s="15" t="n"/>
      <c r="C284" s="16" t="n"/>
      <c r="D284" s="16" t="n"/>
      <c r="E284" s="17" t="n"/>
    </row>
    <row r="285">
      <c r="B285" s="15" t="n"/>
      <c r="C285" s="16" t="n"/>
      <c r="D285" s="16" t="n"/>
      <c r="E285" s="17" t="n"/>
    </row>
    <row r="286">
      <c r="B286" s="15" t="n"/>
      <c r="C286" s="16" t="n"/>
      <c r="D286" s="16" t="n"/>
      <c r="E286" s="17" t="n"/>
    </row>
    <row r="287">
      <c r="B287" s="15" t="n"/>
      <c r="C287" s="16" t="n"/>
      <c r="D287" s="16" t="n"/>
      <c r="E287" s="17" t="n"/>
    </row>
    <row r="288">
      <c r="B288" s="15" t="n"/>
      <c r="C288" s="16" t="n"/>
      <c r="D288" s="16" t="n"/>
      <c r="E288" s="17" t="n"/>
    </row>
    <row r="289">
      <c r="B289" s="15" t="n"/>
      <c r="C289" s="16" t="n"/>
      <c r="D289" s="16" t="n"/>
      <c r="E289" s="17" t="n"/>
    </row>
    <row r="290">
      <c r="B290" s="15" t="n"/>
      <c r="C290" s="16" t="n"/>
      <c r="D290" s="16" t="n"/>
      <c r="E290" s="17" t="n"/>
    </row>
    <row r="291">
      <c r="B291" s="15" t="n"/>
      <c r="C291" s="16" t="n"/>
      <c r="D291" s="16" t="n"/>
      <c r="E291" s="17" t="n"/>
    </row>
    <row r="292">
      <c r="B292" s="15" t="n"/>
      <c r="C292" s="16" t="n"/>
      <c r="D292" s="16" t="n"/>
      <c r="E292" s="17" t="n"/>
    </row>
    <row r="293">
      <c r="B293" s="15" t="n"/>
      <c r="C293" s="16" t="n"/>
      <c r="D293" s="16" t="n"/>
      <c r="E293" s="17" t="n"/>
    </row>
    <row r="294">
      <c r="B294" s="15" t="n"/>
      <c r="C294" s="16" t="n"/>
      <c r="D294" s="16" t="n"/>
      <c r="E294" s="17" t="n"/>
    </row>
    <row r="295">
      <c r="B295" s="15" t="n"/>
      <c r="C295" s="16" t="n"/>
      <c r="D295" s="16" t="n"/>
      <c r="E295" s="17" t="n"/>
    </row>
    <row r="296">
      <c r="B296" s="15" t="n"/>
      <c r="C296" s="16" t="n"/>
      <c r="D296" s="16" t="n"/>
      <c r="E296" s="17" t="n"/>
    </row>
    <row r="297">
      <c r="B297" s="15" t="n"/>
      <c r="C297" s="16" t="n"/>
      <c r="D297" s="16" t="n"/>
      <c r="E297" s="17" t="n"/>
    </row>
    <row r="298">
      <c r="B298" s="15" t="n"/>
      <c r="C298" s="16" t="n"/>
      <c r="D298" s="16" t="n"/>
      <c r="E298" s="17" t="n"/>
    </row>
    <row r="299">
      <c r="B299" s="15" t="n"/>
      <c r="C299" s="16" t="n"/>
      <c r="D299" s="16" t="n"/>
      <c r="E299" s="17" t="n"/>
    </row>
    <row r="300">
      <c r="B300" s="15" t="n"/>
      <c r="C300" s="16" t="n"/>
      <c r="D300" s="16" t="n"/>
      <c r="E300" s="17" t="n"/>
    </row>
    <row r="301">
      <c r="B301" s="15" t="n"/>
      <c r="C301" s="16" t="n"/>
      <c r="D301" s="16" t="n"/>
      <c r="E301" s="17" t="n"/>
    </row>
    <row r="302">
      <c r="B302" s="15" t="n"/>
      <c r="C302" s="16" t="n"/>
      <c r="D302" s="16" t="n"/>
      <c r="E302" s="17" t="n"/>
    </row>
    <row r="303">
      <c r="B303" s="15" t="n"/>
      <c r="C303" s="16" t="n"/>
      <c r="D303" s="16" t="n"/>
      <c r="E303" s="17" t="n"/>
    </row>
    <row r="304">
      <c r="B304" s="15" t="n"/>
      <c r="C304" s="16" t="n"/>
      <c r="D304" s="16" t="n"/>
      <c r="E304" s="17" t="n"/>
    </row>
    <row r="305">
      <c r="B305" s="15" t="n"/>
      <c r="C305" s="16" t="n"/>
      <c r="D305" s="16" t="n"/>
      <c r="E305" s="17" t="n"/>
    </row>
    <row r="306">
      <c r="B306" s="15" t="n"/>
      <c r="C306" s="16" t="n"/>
      <c r="D306" s="16" t="n"/>
      <c r="E306" s="17" t="n"/>
    </row>
    <row r="307">
      <c r="B307" s="15" t="n"/>
      <c r="C307" s="16" t="n"/>
      <c r="D307" s="16" t="n"/>
      <c r="E307" s="17" t="n"/>
    </row>
    <row r="308">
      <c r="B308" s="15" t="n"/>
      <c r="C308" s="16" t="n"/>
      <c r="D308" s="16" t="n"/>
      <c r="E308" s="17" t="n"/>
    </row>
    <row r="309">
      <c r="B309" s="15" t="n"/>
      <c r="C309" s="16" t="n"/>
      <c r="D309" s="16" t="n"/>
      <c r="E309" s="17" t="n"/>
    </row>
    <row r="310">
      <c r="B310" s="15" t="n"/>
      <c r="C310" s="16" t="n"/>
      <c r="D310" s="16" t="n"/>
      <c r="E310" s="17" t="n"/>
    </row>
    <row r="311">
      <c r="B311" s="15" t="n"/>
      <c r="C311" s="16" t="n"/>
      <c r="D311" s="16" t="n"/>
      <c r="E311" s="17" t="n"/>
    </row>
    <row r="312">
      <c r="B312" s="15" t="n"/>
      <c r="C312" s="16" t="n"/>
      <c r="D312" s="16" t="n"/>
      <c r="E312" s="17" t="n"/>
    </row>
    <row r="313">
      <c r="B313" s="15" t="n"/>
      <c r="C313" s="16" t="n"/>
      <c r="D313" s="16" t="n"/>
      <c r="E313" s="17" t="n"/>
    </row>
    <row r="314">
      <c r="B314" s="15" t="n"/>
      <c r="C314" s="16" t="n"/>
      <c r="D314" s="16" t="n"/>
      <c r="E314" s="17" t="n"/>
    </row>
    <row r="315">
      <c r="B315" s="15" t="n"/>
      <c r="C315" s="16" t="n"/>
      <c r="D315" s="16" t="n"/>
      <c r="E315" s="17" t="n"/>
    </row>
    <row r="316">
      <c r="B316" s="15" t="n"/>
      <c r="C316" s="16" t="n"/>
      <c r="D316" s="16" t="n"/>
      <c r="E316" s="17" t="n"/>
    </row>
    <row r="317">
      <c r="B317" s="15" t="n"/>
      <c r="C317" s="16" t="n"/>
      <c r="D317" s="16" t="n"/>
      <c r="E317" s="17" t="n"/>
    </row>
    <row r="318">
      <c r="B318" s="15" t="n"/>
      <c r="C318" s="16" t="n"/>
      <c r="D318" s="16" t="n"/>
      <c r="E318" s="17" t="n"/>
    </row>
    <row r="319">
      <c r="B319" s="15" t="n"/>
      <c r="C319" s="16" t="n"/>
      <c r="D319" s="16" t="n"/>
      <c r="E319" s="17" t="n"/>
    </row>
    <row r="320">
      <c r="B320" s="15" t="n"/>
      <c r="C320" s="16" t="n"/>
      <c r="D320" s="16" t="n"/>
      <c r="E320" s="17" t="n"/>
    </row>
    <row r="321">
      <c r="B321" s="15" t="n"/>
      <c r="C321" s="16" t="n"/>
      <c r="D321" s="16" t="n"/>
      <c r="E321" s="17" t="n"/>
    </row>
    <row r="322">
      <c r="B322" s="15" t="n"/>
      <c r="C322" s="16" t="n"/>
      <c r="D322" s="16" t="n"/>
      <c r="E322" s="17" t="n"/>
    </row>
    <row r="323">
      <c r="B323" s="15" t="n"/>
      <c r="C323" s="16" t="n"/>
      <c r="D323" s="16" t="n"/>
      <c r="E323" s="17" t="n"/>
    </row>
    <row r="324">
      <c r="B324" s="15" t="n"/>
      <c r="C324" s="16" t="n"/>
      <c r="D324" s="16" t="n"/>
      <c r="E324" s="17" t="n"/>
    </row>
    <row r="325">
      <c r="B325" s="15" t="n"/>
      <c r="C325" s="16" t="n"/>
      <c r="D325" s="16" t="n"/>
      <c r="E325" s="17" t="n"/>
    </row>
    <row r="326">
      <c r="B326" s="15" t="n"/>
      <c r="C326" s="16" t="n"/>
      <c r="D326" s="16" t="n"/>
      <c r="E326" s="17" t="n"/>
    </row>
    <row r="327">
      <c r="B327" s="15" t="n"/>
      <c r="C327" s="16" t="n"/>
      <c r="D327" s="16" t="n"/>
      <c r="E327" s="17" t="n"/>
    </row>
    <row r="328">
      <c r="B328" s="15" t="n"/>
      <c r="C328" s="16" t="n"/>
      <c r="D328" s="16" t="n"/>
      <c r="E328" s="17" t="n"/>
    </row>
    <row r="329">
      <c r="B329" s="15" t="n"/>
      <c r="C329" s="16" t="n"/>
      <c r="D329" s="16" t="n"/>
      <c r="E329" s="17" t="n"/>
    </row>
    <row r="330">
      <c r="B330" s="15" t="n"/>
      <c r="C330" s="16" t="n"/>
      <c r="D330" s="16" t="n"/>
      <c r="E330" s="17" t="n"/>
    </row>
    <row r="331">
      <c r="B331" s="15" t="n"/>
      <c r="C331" s="16" t="n"/>
      <c r="D331" s="16" t="n"/>
      <c r="E331" s="17" t="n"/>
    </row>
    <row r="332">
      <c r="B332" s="15" t="n"/>
      <c r="C332" s="16" t="n"/>
      <c r="D332" s="16" t="n"/>
      <c r="E332" s="17" t="n"/>
    </row>
    <row r="333">
      <c r="B333" s="12" t="n"/>
      <c r="C333" s="13" t="n"/>
      <c r="D333" s="13" t="n"/>
      <c r="E333" s="14" t="n"/>
    </row>
    <row r="334">
      <c r="B334" s="15" t="n"/>
      <c r="C334" s="16" t="n"/>
      <c r="D334" s="16" t="n"/>
      <c r="E334" s="17" t="n"/>
    </row>
    <row r="335">
      <c r="B335" s="15" t="n"/>
      <c r="C335" s="16" t="n"/>
      <c r="D335" s="16" t="n"/>
      <c r="E335" s="17" t="n"/>
    </row>
    <row r="336">
      <c r="B336" s="15" t="n"/>
      <c r="C336" s="16" t="n"/>
      <c r="D336" s="16" t="n"/>
      <c r="E336" s="17" t="n"/>
    </row>
    <row r="337">
      <c r="B337" s="15" t="n"/>
      <c r="C337" s="16" t="n"/>
      <c r="D337" s="16" t="n"/>
      <c r="E337" s="17" t="n"/>
    </row>
    <row r="338">
      <c r="B338" s="15" t="n"/>
      <c r="C338" s="16" t="n"/>
      <c r="D338" s="16" t="n"/>
      <c r="E338" s="17" t="n"/>
    </row>
    <row r="339">
      <c r="B339" s="15" t="n"/>
      <c r="C339" s="16" t="n"/>
      <c r="D339" s="16" t="n"/>
      <c r="E339" s="17" t="n"/>
    </row>
    <row r="340">
      <c r="B340" s="15" t="n"/>
      <c r="C340" s="16" t="n"/>
      <c r="D340" s="16" t="n"/>
      <c r="E340" s="17" t="n"/>
    </row>
    <row r="341">
      <c r="B341" s="15" t="n"/>
      <c r="C341" s="16" t="n"/>
      <c r="D341" s="16" t="n"/>
      <c r="E341" s="17" t="n"/>
    </row>
    <row r="342">
      <c r="B342" s="15" t="n"/>
      <c r="C342" s="16" t="n"/>
      <c r="D342" s="16" t="n"/>
      <c r="E342" s="17" t="n"/>
    </row>
    <row r="343">
      <c r="B343" s="15" t="n"/>
      <c r="C343" s="16" t="n"/>
      <c r="D343" s="16" t="n"/>
      <c r="E343" s="17" t="n"/>
    </row>
    <row r="344">
      <c r="B344" s="15" t="n"/>
      <c r="C344" s="16" t="n"/>
      <c r="D344" s="16" t="n"/>
      <c r="E344" s="17" t="n"/>
    </row>
    <row r="345">
      <c r="B345" s="15" t="n"/>
      <c r="C345" s="16" t="n"/>
      <c r="D345" s="16" t="n"/>
      <c r="E345" s="17" t="n"/>
    </row>
    <row r="346">
      <c r="B346" s="15" t="n"/>
      <c r="C346" s="16" t="n"/>
      <c r="D346" s="16" t="n"/>
      <c r="E346" s="17" t="n"/>
    </row>
    <row r="347">
      <c r="B347" s="15" t="n"/>
      <c r="C347" s="16" t="n"/>
      <c r="D347" s="16" t="n"/>
      <c r="E347" s="17" t="n"/>
    </row>
    <row r="348">
      <c r="B348" s="15" t="n"/>
      <c r="C348" s="16" t="n"/>
      <c r="D348" s="16" t="n"/>
      <c r="E348" s="17" t="n"/>
    </row>
    <row r="349">
      <c r="B349" s="15" t="n"/>
      <c r="C349" s="16" t="n"/>
      <c r="D349" s="16" t="n"/>
      <c r="E349" s="17" t="n"/>
    </row>
    <row r="350">
      <c r="B350" s="15" t="n"/>
      <c r="C350" s="16" t="n"/>
      <c r="D350" s="16" t="n"/>
      <c r="E350" s="17" t="n"/>
    </row>
    <row r="351">
      <c r="B351" s="15" t="n"/>
      <c r="C351" s="16" t="n"/>
      <c r="D351" s="16" t="n"/>
      <c r="E351" s="17" t="n"/>
    </row>
    <row r="352">
      <c r="B352" s="15" t="n"/>
      <c r="C352" s="16" t="n"/>
      <c r="D352" s="16" t="n"/>
      <c r="E352" s="17" t="n"/>
    </row>
    <row r="353">
      <c r="B353" s="15" t="n"/>
      <c r="C353" s="16" t="n"/>
      <c r="D353" s="16" t="n"/>
      <c r="E353" s="17" t="n"/>
    </row>
    <row r="354">
      <c r="B354" s="15" t="n"/>
      <c r="C354" s="16" t="n"/>
      <c r="D354" s="16" t="n"/>
      <c r="E354" s="17" t="n"/>
    </row>
    <row r="355">
      <c r="B355" s="15" t="n"/>
      <c r="C355" s="16" t="n"/>
      <c r="D355" s="16" t="n"/>
      <c r="E355" s="17" t="n"/>
    </row>
    <row r="356">
      <c r="B356" s="15" t="n"/>
      <c r="C356" s="16" t="n"/>
      <c r="D356" s="16" t="n"/>
      <c r="E356" s="17" t="n"/>
    </row>
    <row r="357">
      <c r="B357" s="15" t="n"/>
      <c r="C357" s="16" t="n"/>
      <c r="D357" s="16" t="n"/>
      <c r="E357" s="17" t="n"/>
    </row>
    <row r="358">
      <c r="B358" s="15" t="n"/>
      <c r="C358" s="16" t="n"/>
      <c r="D358" s="16" t="n"/>
      <c r="E358" s="17" t="n"/>
    </row>
    <row r="359">
      <c r="B359" s="15" t="n"/>
      <c r="C359" s="16" t="n"/>
      <c r="D359" s="16" t="n"/>
      <c r="E359" s="17" t="n"/>
    </row>
    <row r="360">
      <c r="B360" s="15" t="n"/>
      <c r="C360" s="16" t="n"/>
      <c r="D360" s="16" t="n"/>
      <c r="E360" s="17" t="n"/>
    </row>
    <row r="361">
      <c r="B361" s="15" t="n"/>
      <c r="C361" s="16" t="n"/>
      <c r="D361" s="16" t="n"/>
      <c r="E361" s="17" t="n"/>
    </row>
    <row r="362">
      <c r="B362" s="15" t="n"/>
      <c r="C362" s="16" t="n"/>
      <c r="D362" s="16" t="n"/>
      <c r="E362" s="17" t="n"/>
    </row>
    <row r="363">
      <c r="B363" s="15" t="n"/>
      <c r="C363" s="16" t="n"/>
      <c r="D363" s="16" t="n"/>
      <c r="E363" s="17" t="n"/>
    </row>
    <row r="364">
      <c r="B364" s="15" t="n"/>
      <c r="C364" s="16" t="n"/>
      <c r="D364" s="16" t="n"/>
      <c r="E364" s="17" t="n"/>
    </row>
    <row r="365">
      <c r="B365" s="15" t="n"/>
      <c r="C365" s="16" t="n"/>
      <c r="D365" s="16" t="n"/>
      <c r="E365" s="17" t="n"/>
    </row>
    <row r="366">
      <c r="B366" s="15" t="n"/>
      <c r="C366" s="16" t="n"/>
      <c r="D366" s="16" t="n"/>
      <c r="E366" s="17" t="n"/>
    </row>
    <row r="367">
      <c r="B367" s="15" t="n"/>
      <c r="C367" s="16" t="n"/>
      <c r="D367" s="16" t="n"/>
      <c r="E367" s="17" t="n"/>
    </row>
    <row r="368">
      <c r="B368" s="15" t="n"/>
      <c r="C368" s="16" t="n"/>
      <c r="D368" s="16" t="n"/>
      <c r="E368" s="17" t="n"/>
    </row>
    <row r="369">
      <c r="B369" s="15" t="n"/>
      <c r="C369" s="16" t="n"/>
      <c r="D369" s="16" t="n"/>
      <c r="E369" s="17" t="n"/>
    </row>
    <row r="370">
      <c r="B370" s="15" t="n"/>
      <c r="C370" s="16" t="n"/>
      <c r="D370" s="16" t="n"/>
      <c r="E370" s="17" t="n"/>
    </row>
    <row r="371">
      <c r="B371" s="15" t="n"/>
      <c r="C371" s="16" t="n"/>
      <c r="D371" s="16" t="n"/>
      <c r="E371" s="17" t="n"/>
    </row>
    <row r="372">
      <c r="B372" s="15" t="n"/>
      <c r="C372" s="16" t="n"/>
      <c r="D372" s="16" t="n"/>
      <c r="E372" s="17" t="n"/>
    </row>
    <row r="373">
      <c r="B373" s="15" t="n"/>
      <c r="C373" s="16" t="n"/>
      <c r="D373" s="16" t="n"/>
      <c r="E373" s="17" t="n"/>
    </row>
    <row r="374">
      <c r="B374" s="15" t="n"/>
      <c r="C374" s="16" t="n"/>
      <c r="D374" s="16" t="n"/>
      <c r="E374" s="17" t="n"/>
    </row>
    <row r="375">
      <c r="B375" s="15" t="n"/>
      <c r="C375" s="16" t="n"/>
      <c r="D375" s="16" t="n"/>
      <c r="E375" s="17" t="n"/>
    </row>
    <row r="376">
      <c r="B376" s="15" t="n"/>
      <c r="C376" s="16" t="n"/>
      <c r="D376" s="16" t="n"/>
      <c r="E376" s="17" t="n"/>
    </row>
    <row r="377">
      <c r="B377" s="15" t="n"/>
      <c r="C377" s="16" t="n"/>
      <c r="D377" s="16" t="n"/>
      <c r="E377" s="17" t="n"/>
    </row>
    <row r="378">
      <c r="B378" s="15" t="n"/>
      <c r="C378" s="16" t="n"/>
      <c r="D378" s="16" t="n"/>
      <c r="E378" s="17" t="n"/>
    </row>
    <row r="379">
      <c r="B379" s="15" t="n"/>
      <c r="C379" s="16" t="n"/>
      <c r="D379" s="16" t="n"/>
      <c r="E379" s="17" t="n"/>
    </row>
    <row r="380">
      <c r="B380" s="15" t="n"/>
      <c r="C380" s="16" t="n"/>
      <c r="D380" s="16" t="n"/>
      <c r="E380" s="17" t="n"/>
    </row>
    <row r="381">
      <c r="B381" s="15" t="n"/>
      <c r="C381" s="16" t="n"/>
      <c r="D381" s="16" t="n"/>
      <c r="E381" s="17" t="n"/>
    </row>
    <row r="382">
      <c r="B382" s="15" t="n"/>
      <c r="C382" s="16" t="n"/>
      <c r="D382" s="16" t="n"/>
      <c r="E382" s="17" t="n"/>
    </row>
    <row r="383">
      <c r="B383" s="15" t="n"/>
      <c r="C383" s="16" t="n"/>
      <c r="D383" s="16" t="n"/>
      <c r="E383" s="17" t="n"/>
    </row>
    <row r="384">
      <c r="B384" s="15" t="n"/>
      <c r="C384" s="16" t="n"/>
      <c r="D384" s="16" t="n"/>
      <c r="E384" s="17" t="n"/>
    </row>
    <row r="385">
      <c r="B385" s="15" t="n"/>
      <c r="C385" s="16" t="n"/>
      <c r="D385" s="16" t="n"/>
      <c r="E385" s="17" t="n"/>
    </row>
    <row r="386">
      <c r="B386" s="15" t="n"/>
      <c r="C386" s="16" t="n"/>
      <c r="D386" s="16" t="n"/>
      <c r="E386" s="17" t="n"/>
    </row>
    <row r="387">
      <c r="B387" s="15" t="n"/>
      <c r="C387" s="16" t="n"/>
      <c r="D387" s="16" t="n"/>
      <c r="E387" s="17" t="n"/>
    </row>
    <row r="388">
      <c r="B388" s="15" t="n"/>
      <c r="C388" s="16" t="n"/>
      <c r="D388" s="16" t="n"/>
      <c r="E388" s="17" t="n"/>
    </row>
    <row r="389">
      <c r="B389" s="15" t="n"/>
      <c r="C389" s="16" t="n"/>
      <c r="D389" s="16" t="n"/>
      <c r="E389" s="17" t="n"/>
    </row>
    <row r="390">
      <c r="B390" s="15" t="n"/>
      <c r="C390" s="16" t="n"/>
      <c r="D390" s="16" t="n"/>
      <c r="E390" s="17" t="n"/>
    </row>
    <row r="391">
      <c r="B391" s="15" t="n"/>
      <c r="C391" s="16" t="n"/>
      <c r="D391" s="16" t="n"/>
      <c r="E391" s="17" t="n"/>
    </row>
    <row r="392">
      <c r="B392" s="15" t="n"/>
      <c r="C392" s="16" t="n"/>
      <c r="D392" s="16" t="n"/>
      <c r="E392" s="17" t="n"/>
    </row>
    <row r="393">
      <c r="B393" s="15" t="n"/>
      <c r="C393" s="16" t="n"/>
      <c r="D393" s="16" t="n"/>
      <c r="E393" s="17" t="n"/>
    </row>
    <row r="394">
      <c r="B394" s="15" t="n"/>
      <c r="C394" s="16" t="n"/>
      <c r="D394" s="16" t="n"/>
      <c r="E394" s="17" t="n"/>
    </row>
    <row r="395">
      <c r="B395" s="15" t="n"/>
      <c r="C395" s="16" t="n"/>
      <c r="D395" s="16" t="n"/>
      <c r="E395" s="17" t="n"/>
    </row>
    <row r="396">
      <c r="B396" s="15" t="n"/>
      <c r="C396" s="16" t="n"/>
      <c r="D396" s="16" t="n"/>
      <c r="E396" s="17" t="n"/>
    </row>
    <row r="397">
      <c r="B397" s="15" t="n"/>
      <c r="C397" s="16" t="n"/>
      <c r="D397" s="16" t="n"/>
      <c r="E397" s="17" t="n"/>
    </row>
    <row r="398">
      <c r="B398" s="15" t="n"/>
      <c r="C398" s="16" t="n"/>
      <c r="D398" s="16" t="n"/>
      <c r="E398" s="17" t="n"/>
    </row>
    <row r="399">
      <c r="B399" s="15" t="n"/>
      <c r="C399" s="16" t="n"/>
      <c r="D399" s="16" t="n"/>
      <c r="E399" s="17" t="n"/>
    </row>
    <row r="400">
      <c r="B400" s="15" t="n"/>
      <c r="C400" s="16" t="n"/>
      <c r="D400" s="16" t="n"/>
      <c r="E400" s="17" t="n"/>
    </row>
    <row r="401">
      <c r="B401" s="15" t="n"/>
      <c r="C401" s="16" t="n"/>
      <c r="D401" s="16" t="n"/>
      <c r="E401" s="17" t="n"/>
    </row>
    <row r="402">
      <c r="B402" s="15" t="n"/>
      <c r="C402" s="16" t="n"/>
      <c r="D402" s="16" t="n"/>
      <c r="E402" s="17" t="n"/>
    </row>
    <row r="403">
      <c r="B403" s="15" t="n"/>
      <c r="C403" s="16" t="n"/>
      <c r="D403" s="16" t="n"/>
      <c r="E403" s="17" t="n"/>
    </row>
    <row r="404">
      <c r="B404" s="15" t="n"/>
      <c r="C404" s="16" t="n"/>
      <c r="D404" s="16" t="n"/>
      <c r="E404" s="17" t="n"/>
    </row>
    <row r="405">
      <c r="B405" s="15" t="n"/>
      <c r="C405" s="16" t="n"/>
      <c r="D405" s="16" t="n"/>
      <c r="E405" s="17" t="n"/>
    </row>
    <row r="406">
      <c r="B406" s="15" t="n"/>
      <c r="C406" s="16" t="n"/>
      <c r="D406" s="16" t="n"/>
      <c r="E406" s="17" t="n"/>
    </row>
    <row r="407">
      <c r="B407" s="15" t="n"/>
      <c r="C407" s="16" t="n"/>
      <c r="D407" s="16" t="n"/>
      <c r="E407" s="17" t="n"/>
    </row>
    <row r="408">
      <c r="B408" s="15" t="n"/>
      <c r="C408" s="16" t="n"/>
      <c r="D408" s="16" t="n"/>
      <c r="E408" s="17" t="n"/>
    </row>
    <row r="409">
      <c r="B409" s="15" t="n"/>
      <c r="C409" s="16" t="n"/>
      <c r="D409" s="16" t="n"/>
      <c r="E409" s="17" t="n"/>
    </row>
    <row r="410">
      <c r="B410" s="15" t="n"/>
      <c r="C410" s="16" t="n"/>
      <c r="D410" s="16" t="n"/>
      <c r="E410" s="17" t="n"/>
    </row>
    <row r="411">
      <c r="B411" s="15" t="n"/>
      <c r="C411" s="16" t="n"/>
      <c r="D411" s="16" t="n"/>
      <c r="E411" s="17" t="n"/>
    </row>
    <row r="412">
      <c r="B412" s="15" t="n"/>
      <c r="C412" s="16" t="n"/>
      <c r="D412" s="16" t="n"/>
      <c r="E412" s="17" t="n"/>
    </row>
    <row r="413">
      <c r="B413" s="15" t="n"/>
      <c r="C413" s="16" t="n"/>
      <c r="D413" s="16" t="n"/>
      <c r="E413" s="17" t="n"/>
    </row>
    <row r="414">
      <c r="B414" s="15" t="n"/>
      <c r="C414" s="16" t="n"/>
      <c r="D414" s="16" t="n"/>
      <c r="E414" s="17" t="n"/>
    </row>
    <row r="415">
      <c r="B415" s="15" t="n"/>
      <c r="C415" s="16" t="n"/>
      <c r="D415" s="16" t="n"/>
      <c r="E415" s="17" t="n"/>
    </row>
    <row r="416">
      <c r="B416" s="15" t="n"/>
      <c r="C416" s="16" t="n"/>
      <c r="D416" s="16" t="n"/>
      <c r="E416" s="17" t="n"/>
    </row>
    <row r="417">
      <c r="B417" s="15" t="n"/>
      <c r="C417" s="16" t="n"/>
      <c r="D417" s="16" t="n"/>
      <c r="E417" s="17" t="n"/>
    </row>
    <row r="418">
      <c r="B418" s="15" t="n"/>
      <c r="C418" s="16" t="n"/>
      <c r="D418" s="16" t="n"/>
      <c r="E418" s="17" t="n"/>
    </row>
    <row r="419">
      <c r="B419" s="15" t="n"/>
      <c r="C419" s="16" t="n"/>
      <c r="D419" s="16" t="n"/>
      <c r="E419" s="17" t="n"/>
    </row>
    <row r="420">
      <c r="B420" s="15" t="n"/>
      <c r="C420" s="16" t="n"/>
      <c r="D420" s="16" t="n"/>
      <c r="E420" s="17" t="n"/>
    </row>
    <row r="421">
      <c r="B421" s="15" t="n"/>
      <c r="C421" s="16" t="n"/>
      <c r="D421" s="16" t="n"/>
      <c r="E421" s="17" t="n"/>
    </row>
    <row r="422">
      <c r="B422" s="15" t="n"/>
      <c r="C422" s="16" t="n"/>
      <c r="D422" s="16" t="n"/>
      <c r="E422" s="17" t="n"/>
    </row>
    <row r="423">
      <c r="B423" s="15" t="n"/>
      <c r="C423" s="16" t="n"/>
      <c r="D423" s="16" t="n"/>
      <c r="E423" s="17" t="n"/>
    </row>
    <row r="424">
      <c r="B424" s="15" t="n"/>
      <c r="C424" s="16" t="n"/>
      <c r="D424" s="16" t="n"/>
      <c r="E424" s="17" t="n"/>
    </row>
    <row r="425">
      <c r="B425" s="15" t="n"/>
      <c r="C425" s="16" t="n"/>
      <c r="D425" s="16" t="n"/>
      <c r="E425" s="17" t="n"/>
    </row>
    <row r="426">
      <c r="B426" s="15" t="n"/>
      <c r="C426" s="16" t="n"/>
      <c r="D426" s="16" t="n"/>
      <c r="E426" s="17" t="n"/>
    </row>
    <row r="427">
      <c r="B427" s="15" t="n"/>
      <c r="C427" s="16" t="n"/>
      <c r="D427" s="16" t="n"/>
      <c r="E427" s="17" t="n"/>
    </row>
    <row r="428">
      <c r="B428" s="15" t="n"/>
      <c r="C428" s="16" t="n"/>
      <c r="D428" s="16" t="n"/>
      <c r="E428" s="17" t="n"/>
    </row>
    <row r="429">
      <c r="B429" s="15" t="n"/>
      <c r="C429" s="16" t="n"/>
      <c r="D429" s="16" t="n"/>
      <c r="E429" s="17" t="n"/>
    </row>
    <row r="430">
      <c r="B430" s="15" t="n"/>
      <c r="C430" s="16" t="n"/>
      <c r="D430" s="16" t="n"/>
      <c r="E430" s="17" t="n"/>
    </row>
    <row r="431">
      <c r="B431" s="15" t="n"/>
      <c r="C431" s="16" t="n"/>
      <c r="D431" s="16" t="n"/>
      <c r="E431" s="17" t="n"/>
    </row>
    <row r="432">
      <c r="B432" s="15" t="n"/>
      <c r="C432" s="16" t="n"/>
      <c r="D432" s="16" t="n"/>
      <c r="E432" s="17" t="n"/>
    </row>
    <row r="433">
      <c r="B433" s="15" t="n"/>
      <c r="C433" s="16" t="n"/>
      <c r="D433" s="16" t="n"/>
      <c r="E433" s="17" t="n"/>
    </row>
    <row r="434">
      <c r="B434" s="15" t="n"/>
      <c r="C434" s="16" t="n"/>
      <c r="D434" s="16" t="n"/>
      <c r="E434" s="17" t="n"/>
    </row>
    <row r="435">
      <c r="B435" s="15" t="n"/>
      <c r="C435" s="16" t="n"/>
      <c r="D435" s="16" t="n"/>
      <c r="E435" s="17" t="n"/>
    </row>
    <row r="436">
      <c r="B436" s="15" t="n"/>
      <c r="C436" s="16" t="n"/>
      <c r="D436" s="16" t="n"/>
      <c r="E436" s="17" t="n"/>
    </row>
    <row r="437">
      <c r="B437" s="15" t="n"/>
      <c r="C437" s="16" t="n"/>
      <c r="D437" s="16" t="n"/>
      <c r="E437" s="17" t="n"/>
    </row>
    <row r="438">
      <c r="B438" s="15" t="n"/>
      <c r="C438" s="16" t="n"/>
      <c r="D438" s="16" t="n"/>
      <c r="E438" s="17" t="n"/>
    </row>
    <row r="439">
      <c r="B439" s="15" t="n"/>
      <c r="C439" s="16" t="n"/>
      <c r="D439" s="16" t="n"/>
      <c r="E439" s="17" t="n"/>
    </row>
    <row r="440">
      <c r="B440" s="15" t="n"/>
      <c r="C440" s="16" t="n"/>
      <c r="D440" s="16" t="n"/>
      <c r="E440" s="17" t="n"/>
    </row>
    <row r="441">
      <c r="B441" s="15" t="n"/>
      <c r="C441" s="16" t="n"/>
      <c r="D441" s="16" t="n"/>
      <c r="E441" s="17" t="n"/>
    </row>
    <row r="442">
      <c r="B442" s="15" t="n"/>
      <c r="C442" s="16" t="n"/>
      <c r="D442" s="16" t="n"/>
      <c r="E442" s="17" t="n"/>
    </row>
    <row r="443">
      <c r="B443" s="15" t="n"/>
      <c r="C443" s="16" t="n"/>
      <c r="D443" s="16" t="n"/>
      <c r="E443" s="17" t="n"/>
    </row>
    <row r="444">
      <c r="B444" s="15" t="n"/>
      <c r="C444" s="16" t="n"/>
      <c r="D444" s="16" t="n"/>
      <c r="E444" s="17" t="n"/>
    </row>
    <row r="445">
      <c r="B445" s="15" t="n"/>
      <c r="C445" s="16" t="n"/>
      <c r="D445" s="16" t="n"/>
      <c r="E445" s="17" t="n"/>
    </row>
    <row r="446">
      <c r="B446" s="15" t="n"/>
      <c r="C446" s="16" t="n"/>
      <c r="D446" s="16" t="n"/>
      <c r="E446" s="17" t="n"/>
    </row>
    <row r="447">
      <c r="B447" s="15" t="n"/>
      <c r="C447" s="16" t="n"/>
      <c r="D447" s="16" t="n"/>
      <c r="E447" s="17" t="n"/>
    </row>
    <row r="448">
      <c r="B448" s="15" t="n"/>
      <c r="C448" s="16" t="n"/>
      <c r="D448" s="16" t="n"/>
      <c r="E448" s="17" t="n"/>
    </row>
    <row r="449">
      <c r="B449" s="15" t="n"/>
      <c r="C449" s="16" t="n"/>
      <c r="D449" s="16" t="n"/>
      <c r="E449" s="17" t="n"/>
    </row>
    <row r="450">
      <c r="B450" s="15" t="n"/>
      <c r="C450" s="16" t="n"/>
      <c r="D450" s="16" t="n"/>
      <c r="E450" s="17" t="n"/>
    </row>
    <row r="451">
      <c r="B451" s="15" t="n"/>
      <c r="C451" s="16" t="n"/>
      <c r="D451" s="16" t="n"/>
      <c r="E451" s="17" t="n"/>
    </row>
    <row r="452">
      <c r="B452" s="15" t="n"/>
      <c r="C452" s="16" t="n"/>
      <c r="D452" s="16" t="n"/>
      <c r="E452" s="17" t="n"/>
    </row>
    <row r="453">
      <c r="B453" s="15" t="n"/>
      <c r="C453" s="16" t="n"/>
      <c r="D453" s="16" t="n"/>
      <c r="E453" s="17" t="n"/>
    </row>
    <row r="454">
      <c r="B454" s="15" t="n"/>
      <c r="C454" s="16" t="n"/>
      <c r="D454" s="16" t="n"/>
      <c r="E454" s="17" t="n"/>
    </row>
    <row r="455">
      <c r="B455" s="15" t="n"/>
      <c r="C455" s="16" t="n"/>
      <c r="D455" s="16" t="n"/>
      <c r="E455" s="17" t="n"/>
    </row>
    <row r="456">
      <c r="B456" s="15" t="n"/>
      <c r="C456" s="16" t="n"/>
      <c r="D456" s="16" t="n"/>
      <c r="E456" s="17" t="n"/>
    </row>
    <row r="457">
      <c r="B457" s="15" t="n"/>
      <c r="C457" s="16" t="n"/>
      <c r="D457" s="16" t="n"/>
      <c r="E457" s="17" t="n"/>
    </row>
    <row r="458">
      <c r="B458" s="15" t="n"/>
      <c r="C458" s="16" t="n"/>
      <c r="D458" s="16" t="n"/>
      <c r="E458" s="17" t="n"/>
    </row>
    <row r="459">
      <c r="B459" s="15" t="n"/>
      <c r="C459" s="16" t="n"/>
      <c r="D459" s="16" t="n"/>
      <c r="E459" s="17" t="n"/>
    </row>
    <row r="460">
      <c r="B460" s="15" t="n"/>
      <c r="C460" s="16" t="n"/>
      <c r="D460" s="16" t="n"/>
      <c r="E460" s="17" t="n"/>
    </row>
    <row r="461">
      <c r="B461" s="15" t="n"/>
      <c r="C461" s="16" t="n"/>
      <c r="D461" s="16" t="n"/>
      <c r="E461" s="17" t="n"/>
    </row>
    <row r="462">
      <c r="B462" s="15" t="n"/>
      <c r="C462" s="16" t="n"/>
      <c r="D462" s="16" t="n"/>
      <c r="E462" s="17" t="n"/>
    </row>
    <row r="463">
      <c r="B463" s="15" t="n"/>
      <c r="C463" s="16" t="n"/>
      <c r="D463" s="16" t="n"/>
      <c r="E463" s="17" t="n"/>
    </row>
    <row r="464">
      <c r="B464" s="15" t="n"/>
      <c r="C464" s="16" t="n"/>
      <c r="D464" s="16" t="n"/>
      <c r="E464" s="17" t="n"/>
    </row>
    <row r="465">
      <c r="B465" s="15" t="n"/>
      <c r="C465" s="16" t="n"/>
      <c r="D465" s="16" t="n"/>
      <c r="E465" s="17" t="n"/>
    </row>
    <row r="466">
      <c r="B466" s="15" t="n"/>
      <c r="C466" s="16" t="n"/>
      <c r="D466" s="16" t="n"/>
      <c r="E466" s="17" t="n"/>
    </row>
    <row r="467">
      <c r="B467" s="15" t="n"/>
      <c r="C467" s="16" t="n"/>
      <c r="D467" s="16" t="n"/>
      <c r="E467" s="17" t="n"/>
    </row>
    <row r="468">
      <c r="B468" s="15" t="n"/>
      <c r="C468" s="16" t="n"/>
      <c r="D468" s="16" t="n"/>
      <c r="E468" s="17" t="n"/>
    </row>
    <row r="469">
      <c r="B469" s="15" t="n"/>
      <c r="C469" s="16" t="n"/>
      <c r="D469" s="16" t="n"/>
      <c r="E469" s="17" t="n"/>
    </row>
    <row r="470">
      <c r="B470" s="15" t="n"/>
      <c r="C470" s="16" t="n"/>
      <c r="D470" s="16" t="n"/>
      <c r="E470" s="17" t="n"/>
    </row>
    <row r="471">
      <c r="B471" s="15" t="n"/>
      <c r="C471" s="16" t="n"/>
      <c r="D471" s="16" t="n"/>
      <c r="E471" s="17" t="n"/>
    </row>
    <row r="472">
      <c r="B472" s="15" t="n"/>
      <c r="C472" s="16" t="n"/>
      <c r="D472" s="16" t="n"/>
      <c r="E472" s="17" t="n"/>
    </row>
    <row r="473">
      <c r="B473" s="15" t="n"/>
      <c r="C473" s="16" t="n"/>
      <c r="D473" s="16" t="n"/>
      <c r="E473" s="17" t="n"/>
    </row>
    <row r="474">
      <c r="B474" s="15" t="n"/>
      <c r="C474" s="16" t="n"/>
      <c r="D474" s="16" t="n"/>
      <c r="E474" s="17" t="n"/>
    </row>
    <row r="475">
      <c r="B475" s="15" t="n"/>
      <c r="C475" s="16" t="n"/>
      <c r="D475" s="16" t="n"/>
      <c r="E475" s="17" t="n"/>
    </row>
    <row r="476">
      <c r="B476" s="15" t="n"/>
      <c r="C476" s="16" t="n"/>
      <c r="D476" s="16" t="n"/>
      <c r="E476" s="17" t="n"/>
    </row>
    <row r="477">
      <c r="B477" s="15" t="n"/>
      <c r="C477" s="16" t="n"/>
      <c r="D477" s="16" t="n"/>
      <c r="E477" s="17" t="n"/>
    </row>
    <row r="478">
      <c r="B478" s="15" t="n"/>
      <c r="C478" s="16" t="n"/>
      <c r="D478" s="16" t="n"/>
      <c r="E478" s="17" t="n"/>
    </row>
    <row r="479">
      <c r="B479" s="15" t="n"/>
      <c r="C479" s="16" t="n"/>
      <c r="D479" s="16" t="n"/>
      <c r="E479" s="17" t="n"/>
    </row>
    <row r="480">
      <c r="B480" s="15" t="n"/>
      <c r="C480" s="16" t="n"/>
      <c r="D480" s="16" t="n"/>
      <c r="E480" s="17" t="n"/>
    </row>
    <row r="481">
      <c r="B481" s="15" t="n"/>
      <c r="C481" s="16" t="n"/>
      <c r="D481" s="16" t="n"/>
      <c r="E481" s="17" t="n"/>
    </row>
    <row r="482">
      <c r="B482" s="15" t="n"/>
      <c r="C482" s="16" t="n"/>
      <c r="D482" s="16" t="n"/>
      <c r="E482" s="17" t="n"/>
    </row>
    <row r="483">
      <c r="B483" s="15" t="n"/>
      <c r="C483" s="16" t="n"/>
      <c r="D483" s="16" t="n"/>
      <c r="E483" s="17" t="n"/>
    </row>
    <row r="484">
      <c r="B484" s="15" t="n"/>
      <c r="C484" s="16" t="n"/>
      <c r="D484" s="16" t="n"/>
      <c r="E484" s="17" t="n"/>
    </row>
    <row r="485">
      <c r="B485" s="15" t="n"/>
      <c r="C485" s="16" t="n"/>
      <c r="D485" s="16" t="n"/>
      <c r="E485" s="17" t="n"/>
    </row>
    <row r="486">
      <c r="B486" s="15" t="n"/>
      <c r="C486" s="16" t="n"/>
      <c r="D486" s="16" t="n"/>
      <c r="E486" s="17" t="n"/>
    </row>
    <row r="487">
      <c r="B487" s="15" t="n"/>
      <c r="C487" s="16" t="n"/>
      <c r="D487" s="16" t="n"/>
      <c r="E487" s="17" t="n"/>
    </row>
    <row r="488">
      <c r="B488" s="15" t="n"/>
      <c r="C488" s="16" t="n"/>
      <c r="D488" s="16" t="n"/>
      <c r="E488" s="17" t="n"/>
    </row>
    <row r="489">
      <c r="B489" s="15" t="n"/>
      <c r="C489" s="16" t="n"/>
      <c r="D489" s="16" t="n"/>
      <c r="E489" s="17" t="n"/>
    </row>
    <row r="490">
      <c r="B490" s="15" t="n"/>
      <c r="C490" s="16" t="n"/>
      <c r="D490" s="16" t="n"/>
      <c r="E490" s="17" t="n"/>
    </row>
    <row r="491">
      <c r="B491" s="15" t="n"/>
      <c r="C491" s="16" t="n"/>
      <c r="D491" s="16" t="n"/>
      <c r="E491" s="17" t="n"/>
    </row>
    <row r="492">
      <c r="B492" s="15" t="n"/>
      <c r="C492" s="16" t="n"/>
      <c r="D492" s="16" t="n"/>
      <c r="E492" s="17" t="n"/>
    </row>
    <row r="493">
      <c r="B493" s="15" t="n"/>
      <c r="C493" s="16" t="n"/>
      <c r="D493" s="16" t="n"/>
      <c r="E493" s="17" t="n"/>
    </row>
    <row r="494">
      <c r="B494" s="15" t="n"/>
      <c r="C494" s="16" t="n"/>
      <c r="D494" s="16" t="n"/>
      <c r="E494" s="17" t="n"/>
    </row>
    <row r="495">
      <c r="B495" s="15" t="n"/>
      <c r="C495" s="16" t="n"/>
      <c r="D495" s="16" t="n"/>
      <c r="E495" s="17" t="n"/>
    </row>
    <row r="496">
      <c r="B496" s="15" t="n"/>
      <c r="C496" s="16" t="n"/>
      <c r="D496" s="16" t="n"/>
      <c r="E496" s="17" t="n"/>
    </row>
    <row r="497">
      <c r="B497" s="15" t="n"/>
      <c r="C497" s="16" t="n"/>
      <c r="D497" s="16" t="n"/>
      <c r="E497" s="17" t="n"/>
    </row>
    <row r="498">
      <c r="B498" s="15" t="n"/>
      <c r="C498" s="16" t="n"/>
      <c r="D498" s="16" t="n"/>
      <c r="E498" s="17" t="n"/>
    </row>
    <row r="499">
      <c r="B499" s="15" t="n"/>
      <c r="C499" s="16" t="n"/>
      <c r="D499" s="16" t="n"/>
      <c r="E499" s="17" t="n"/>
    </row>
    <row r="500">
      <c r="B500" s="15" t="n"/>
      <c r="C500" s="16" t="n"/>
      <c r="D500" s="16" t="n"/>
      <c r="E500" s="17" t="n"/>
    </row>
    <row r="501">
      <c r="B501" s="15" t="n"/>
      <c r="C501" s="16" t="n"/>
      <c r="D501" s="16" t="n"/>
      <c r="E501" s="17" t="n"/>
    </row>
    <row r="502">
      <c r="B502" s="15" t="n"/>
      <c r="C502" s="16" t="n"/>
      <c r="D502" s="16" t="n"/>
      <c r="E502" s="17" t="n"/>
    </row>
    <row r="503">
      <c r="B503" s="15" t="n"/>
      <c r="C503" s="16" t="n"/>
      <c r="D503" s="16" t="n"/>
      <c r="E503" s="17" t="n"/>
    </row>
    <row r="504">
      <c r="B504" s="15" t="n"/>
      <c r="C504" s="16" t="n"/>
      <c r="D504" s="16" t="n"/>
      <c r="E504" s="17" t="n"/>
    </row>
    <row r="505">
      <c r="B505" s="15" t="n"/>
      <c r="C505" s="16" t="n"/>
      <c r="D505" s="16" t="n"/>
      <c r="E505" s="17" t="n"/>
    </row>
    <row r="506">
      <c r="B506" s="15" t="n"/>
      <c r="C506" s="16" t="n"/>
      <c r="D506" s="16" t="n"/>
      <c r="E506" s="17" t="n"/>
    </row>
    <row r="507">
      <c r="B507" s="15" t="n"/>
      <c r="C507" s="16" t="n"/>
      <c r="D507" s="16" t="n"/>
      <c r="E507" s="17" t="n"/>
    </row>
    <row r="508">
      <c r="B508" s="15" t="n"/>
      <c r="C508" s="16" t="n"/>
      <c r="D508" s="16" t="n"/>
      <c r="E508" s="17" t="n"/>
    </row>
    <row r="509">
      <c r="B509" s="15" t="n"/>
      <c r="C509" s="16" t="n"/>
      <c r="D509" s="16" t="n"/>
      <c r="E509" s="17" t="n"/>
    </row>
    <row r="510">
      <c r="B510" s="15" t="n"/>
      <c r="C510" s="16" t="n"/>
      <c r="D510" s="16" t="n"/>
      <c r="E510" s="17" t="n"/>
    </row>
    <row r="511">
      <c r="B511" s="15" t="n"/>
      <c r="C511" s="16" t="n"/>
      <c r="D511" s="16" t="n"/>
      <c r="E511" s="17" t="n"/>
    </row>
    <row r="512">
      <c r="B512" s="15" t="n"/>
      <c r="C512" s="16" t="n"/>
      <c r="D512" s="16" t="n"/>
      <c r="E512" s="17" t="n"/>
    </row>
    <row r="513">
      <c r="B513" s="15" t="n"/>
      <c r="C513" s="16" t="n"/>
      <c r="D513" s="16" t="n"/>
      <c r="E513" s="17" t="n"/>
    </row>
    <row r="514">
      <c r="B514" s="15" t="n"/>
      <c r="C514" s="16" t="n"/>
      <c r="D514" s="16" t="n"/>
      <c r="E514" s="17" t="n"/>
    </row>
    <row r="515">
      <c r="B515" s="15" t="n"/>
      <c r="C515" s="16" t="n"/>
      <c r="D515" s="16" t="n"/>
      <c r="E515" s="17" t="n"/>
    </row>
    <row r="516">
      <c r="B516" s="15" t="n"/>
      <c r="C516" s="16" t="n"/>
      <c r="D516" s="16" t="n"/>
      <c r="E516" s="17" t="n"/>
    </row>
    <row r="517">
      <c r="B517" s="15" t="n"/>
      <c r="C517" s="16" t="n"/>
      <c r="D517" s="16" t="n"/>
      <c r="E517" s="17" t="n"/>
    </row>
    <row r="518">
      <c r="B518" s="15" t="n"/>
      <c r="C518" s="16" t="n"/>
      <c r="D518" s="16" t="n"/>
      <c r="E518" s="17" t="n"/>
    </row>
    <row r="519">
      <c r="B519" s="15" t="n"/>
      <c r="C519" s="16" t="n"/>
      <c r="D519" s="16" t="n"/>
      <c r="E519" s="17" t="n"/>
    </row>
    <row r="520">
      <c r="B520" s="15" t="n"/>
      <c r="C520" s="16" t="n"/>
      <c r="D520" s="16" t="n"/>
      <c r="E520" s="17" t="n"/>
    </row>
    <row r="521">
      <c r="B521" s="15" t="n"/>
      <c r="C521" s="16" t="n"/>
      <c r="D521" s="16" t="n"/>
      <c r="E521" s="17" t="n"/>
    </row>
    <row r="522">
      <c r="B522" s="15" t="n"/>
      <c r="C522" s="16" t="n"/>
      <c r="D522" s="16" t="n"/>
      <c r="E522" s="17" t="n"/>
    </row>
    <row r="523">
      <c r="B523" s="15" t="n"/>
      <c r="C523" s="16" t="n"/>
      <c r="D523" s="16" t="n"/>
      <c r="E523" s="17" t="n"/>
    </row>
    <row r="524">
      <c r="B524" s="15" t="n"/>
      <c r="C524" s="16" t="n"/>
      <c r="D524" s="16" t="n"/>
      <c r="E524" s="17" t="n"/>
    </row>
    <row r="525">
      <c r="B525" s="15" t="n"/>
      <c r="C525" s="16" t="n"/>
      <c r="D525" s="16" t="n"/>
      <c r="E525" s="17" t="n"/>
    </row>
    <row r="526">
      <c r="B526" s="15" t="n"/>
      <c r="C526" s="16" t="n"/>
      <c r="D526" s="16" t="n"/>
      <c r="E526" s="17" t="n"/>
    </row>
    <row r="527">
      <c r="B527" s="15" t="n"/>
      <c r="C527" s="16" t="n"/>
      <c r="D527" s="16" t="n"/>
      <c r="E527" s="17" t="n"/>
    </row>
    <row r="528">
      <c r="B528" s="15" t="n"/>
      <c r="C528" s="16" t="n"/>
      <c r="D528" s="16" t="n"/>
      <c r="E528" s="17" t="n"/>
    </row>
    <row r="529">
      <c r="B529" s="15" t="n"/>
      <c r="C529" s="16" t="n"/>
      <c r="D529" s="16" t="n"/>
      <c r="E529" s="17" t="n"/>
    </row>
    <row r="530">
      <c r="B530" s="15" t="n"/>
      <c r="C530" s="16" t="n"/>
      <c r="D530" s="16" t="n"/>
      <c r="E530" s="17" t="n"/>
    </row>
    <row r="531">
      <c r="B531" s="15" t="n"/>
      <c r="C531" s="16" t="n"/>
      <c r="D531" s="16" t="n"/>
      <c r="E531" s="17" t="n"/>
    </row>
    <row r="532">
      <c r="B532" s="15" t="n"/>
      <c r="C532" s="16" t="n"/>
      <c r="D532" s="16" t="n"/>
      <c r="E532" s="17" t="n"/>
    </row>
    <row r="533">
      <c r="B533" s="15" t="n"/>
      <c r="C533" s="16" t="n"/>
      <c r="D533" s="16" t="n"/>
      <c r="E533" s="17" t="n"/>
    </row>
    <row r="534">
      <c r="B534" s="15" t="n"/>
      <c r="C534" s="16" t="n"/>
      <c r="D534" s="16" t="n"/>
      <c r="E534" s="17" t="n"/>
    </row>
    <row r="535">
      <c r="B535" s="15" t="n"/>
      <c r="C535" s="16" t="n"/>
      <c r="D535" s="16" t="n"/>
      <c r="E535" s="17" t="n"/>
    </row>
    <row r="536">
      <c r="B536" s="15" t="n"/>
      <c r="C536" s="16" t="n"/>
      <c r="D536" s="16" t="n"/>
      <c r="E536" s="17" t="n"/>
    </row>
    <row r="537">
      <c r="B537" s="15" t="n"/>
      <c r="C537" s="16" t="n"/>
      <c r="D537" s="16" t="n"/>
      <c r="E537" s="17" t="n"/>
    </row>
    <row r="538">
      <c r="B538" s="15" t="n"/>
      <c r="C538" s="16" t="n"/>
      <c r="D538" s="16" t="n"/>
      <c r="E538" s="17" t="n"/>
    </row>
    <row r="539">
      <c r="B539" s="15" t="n"/>
      <c r="C539" s="16" t="n"/>
      <c r="D539" s="16" t="n"/>
      <c r="E539" s="17" t="n"/>
    </row>
    <row r="540">
      <c r="B540" s="15" t="n"/>
      <c r="C540" s="16" t="n"/>
      <c r="D540" s="16" t="n"/>
      <c r="E540" s="17" t="n"/>
    </row>
    <row r="541">
      <c r="B541" s="15" t="n"/>
      <c r="C541" s="16" t="n"/>
      <c r="D541" s="16" t="n"/>
      <c r="E541" s="17" t="n"/>
    </row>
    <row r="542">
      <c r="B542" s="15" t="n"/>
      <c r="C542" s="16" t="n"/>
      <c r="D542" s="16" t="n"/>
      <c r="E542" s="17" t="n"/>
    </row>
    <row r="543">
      <c r="B543" s="15" t="n"/>
      <c r="C543" s="16" t="n"/>
      <c r="D543" s="16" t="n"/>
      <c r="E543" s="17" t="n"/>
    </row>
    <row r="544">
      <c r="B544" s="15" t="n"/>
      <c r="C544" s="16" t="n"/>
      <c r="D544" s="16" t="n"/>
      <c r="E544" s="17" t="n"/>
    </row>
    <row r="545">
      <c r="B545" s="15" t="n"/>
      <c r="C545" s="16" t="n"/>
      <c r="D545" s="16" t="n"/>
      <c r="E545" s="17" t="n"/>
    </row>
    <row r="546">
      <c r="B546" s="15" t="n"/>
      <c r="C546" s="16" t="n"/>
      <c r="D546" s="16" t="n"/>
      <c r="E546" s="17" t="n"/>
    </row>
    <row r="547">
      <c r="B547" s="15" t="n"/>
      <c r="C547" s="16" t="n"/>
      <c r="D547" s="16" t="n"/>
      <c r="E547" s="17" t="n"/>
    </row>
    <row r="548">
      <c r="B548" s="15" t="n"/>
      <c r="C548" s="16" t="n"/>
      <c r="D548" s="16" t="n"/>
      <c r="E548" s="17" t="n"/>
    </row>
    <row r="549">
      <c r="B549" s="15" t="n"/>
      <c r="C549" s="16" t="n"/>
      <c r="D549" s="16" t="n"/>
      <c r="E549" s="17" t="n"/>
    </row>
    <row r="550">
      <c r="B550" s="15" t="n"/>
      <c r="C550" s="16" t="n"/>
      <c r="D550" s="16" t="n"/>
      <c r="E550" s="17" t="n"/>
    </row>
    <row r="551">
      <c r="B551" s="15" t="n"/>
      <c r="C551" s="16" t="n"/>
      <c r="D551" s="16" t="n"/>
      <c r="E551" s="17" t="n"/>
    </row>
    <row r="552">
      <c r="B552" s="15" t="n"/>
      <c r="C552" s="16" t="n"/>
      <c r="D552" s="16" t="n"/>
      <c r="E552" s="17" t="n"/>
    </row>
    <row r="553">
      <c r="B553" s="15" t="n"/>
      <c r="C553" s="16" t="n"/>
      <c r="D553" s="16" t="n"/>
      <c r="E553" s="17" t="n"/>
    </row>
    <row r="554">
      <c r="B554" s="15" t="n"/>
      <c r="C554" s="16" t="n"/>
      <c r="D554" s="16" t="n"/>
      <c r="E554" s="17" t="n"/>
    </row>
    <row r="555">
      <c r="B555" s="15" t="n"/>
      <c r="C555" s="16" t="n"/>
      <c r="D555" s="16" t="n"/>
      <c r="E555" s="17" t="n"/>
    </row>
    <row r="556">
      <c r="B556" s="15" t="n"/>
      <c r="C556" s="16" t="n"/>
      <c r="D556" s="16" t="n"/>
      <c r="E556" s="17" t="n"/>
    </row>
    <row r="557">
      <c r="B557" s="15" t="n"/>
      <c r="C557" s="16" t="n"/>
      <c r="D557" s="16" t="n"/>
      <c r="E557" s="17" t="n"/>
    </row>
    <row r="558">
      <c r="B558" s="15" t="n"/>
      <c r="C558" s="16" t="n"/>
      <c r="D558" s="16" t="n"/>
      <c r="E558" s="17" t="n"/>
    </row>
    <row r="559">
      <c r="B559" s="15" t="n"/>
      <c r="C559" s="16" t="n"/>
      <c r="D559" s="16" t="n"/>
      <c r="E559" s="17" t="n"/>
    </row>
    <row r="560">
      <c r="B560" s="15" t="n"/>
      <c r="C560" s="16" t="n"/>
      <c r="D560" s="16" t="n"/>
      <c r="E560" s="17" t="n"/>
    </row>
    <row r="561">
      <c r="B561" s="15" t="n"/>
      <c r="C561" s="16" t="n"/>
      <c r="D561" s="16" t="n"/>
      <c r="E561" s="17" t="n"/>
    </row>
    <row r="562">
      <c r="B562" s="15" t="n"/>
      <c r="C562" s="16" t="n"/>
      <c r="D562" s="16" t="n"/>
      <c r="E562" s="17" t="n"/>
    </row>
    <row r="563">
      <c r="B563" s="15" t="n"/>
      <c r="C563" s="16" t="n"/>
      <c r="D563" s="16" t="n"/>
      <c r="E563" s="17" t="n"/>
    </row>
    <row r="564">
      <c r="B564" s="15" t="n"/>
      <c r="C564" s="16" t="n"/>
      <c r="D564" s="16" t="n"/>
      <c r="E564" s="17" t="n"/>
    </row>
    <row r="565">
      <c r="B565" s="15" t="n"/>
      <c r="C565" s="16" t="n"/>
      <c r="D565" s="16" t="n"/>
      <c r="E565" s="17" t="n"/>
    </row>
    <row r="566">
      <c r="B566" s="15" t="n"/>
      <c r="C566" s="16" t="n"/>
      <c r="D566" s="16" t="n"/>
      <c r="E566" s="17" t="n"/>
    </row>
    <row r="567">
      <c r="B567" s="15" t="n"/>
      <c r="C567" s="16" t="n"/>
      <c r="D567" s="16" t="n"/>
      <c r="E567" s="17" t="n"/>
    </row>
    <row r="568">
      <c r="B568" s="15" t="n"/>
      <c r="C568" s="16" t="n"/>
      <c r="D568" s="16" t="n"/>
      <c r="E568" s="17" t="n"/>
    </row>
    <row r="569">
      <c r="B569" s="15" t="n"/>
      <c r="C569" s="16" t="n"/>
      <c r="D569" s="16" t="n"/>
      <c r="E569" s="17" t="n"/>
    </row>
    <row r="570">
      <c r="B570" s="15" t="n"/>
      <c r="C570" s="16" t="n"/>
      <c r="D570" s="16" t="n"/>
      <c r="E570" s="17" t="n"/>
    </row>
    <row r="571">
      <c r="B571" s="15" t="n"/>
      <c r="C571" s="16" t="n"/>
      <c r="D571" s="16" t="n"/>
      <c r="E571" s="17" t="n"/>
    </row>
    <row r="572">
      <c r="B572" s="15" t="n"/>
      <c r="C572" s="16" t="n"/>
      <c r="D572" s="16" t="n"/>
      <c r="E572" s="17" t="n"/>
    </row>
    <row r="573">
      <c r="B573" s="15" t="n"/>
      <c r="C573" s="16" t="n"/>
      <c r="D573" s="16" t="n"/>
      <c r="E573" s="17" t="n"/>
    </row>
    <row r="574">
      <c r="B574" s="15" t="n"/>
      <c r="C574" s="16" t="n"/>
      <c r="D574" s="16" t="n"/>
      <c r="E574" s="17" t="n"/>
    </row>
    <row r="575">
      <c r="B575" s="15" t="n"/>
      <c r="C575" s="16" t="n"/>
      <c r="D575" s="16" t="n"/>
      <c r="E575" s="17" t="n"/>
    </row>
    <row r="576">
      <c r="B576" s="15" t="n"/>
      <c r="C576" s="16" t="n"/>
      <c r="D576" s="16" t="n"/>
      <c r="E576" s="17" t="n"/>
    </row>
    <row r="577">
      <c r="B577" s="15" t="n"/>
      <c r="C577" s="16" t="n"/>
      <c r="D577" s="16" t="n"/>
      <c r="E577" s="17" t="n"/>
    </row>
    <row r="578">
      <c r="B578" s="15" t="n"/>
      <c r="C578" s="16" t="n"/>
      <c r="D578" s="16" t="n"/>
      <c r="E578" s="17" t="n"/>
    </row>
    <row r="579">
      <c r="B579" s="15" t="n"/>
      <c r="C579" s="16" t="n"/>
      <c r="D579" s="16" t="n"/>
      <c r="E579" s="17" t="n"/>
    </row>
    <row r="580">
      <c r="B580" s="15" t="n"/>
      <c r="C580" s="16" t="n"/>
      <c r="D580" s="16" t="n"/>
      <c r="E580" s="17" t="n"/>
    </row>
    <row r="581">
      <c r="B581" s="15" t="n"/>
      <c r="C581" s="16" t="n"/>
      <c r="D581" s="16" t="n"/>
      <c r="E581" s="17" t="n"/>
    </row>
    <row r="582">
      <c r="B582" s="15" t="n"/>
      <c r="C582" s="16" t="n"/>
      <c r="D582" s="16" t="n"/>
      <c r="E582" s="17" t="n"/>
    </row>
    <row r="583">
      <c r="B583" s="15" t="n"/>
      <c r="C583" s="16" t="n"/>
      <c r="D583" s="16" t="n"/>
      <c r="E583" s="17" t="n"/>
    </row>
    <row r="584">
      <c r="B584" s="15" t="n"/>
      <c r="C584" s="16" t="n"/>
      <c r="D584" s="16" t="n"/>
      <c r="E584" s="17" t="n"/>
    </row>
    <row r="585">
      <c r="B585" s="15" t="n"/>
      <c r="C585" s="16" t="n"/>
      <c r="D585" s="16" t="n"/>
      <c r="E585" s="17" t="n"/>
    </row>
    <row r="586">
      <c r="B586" s="15" t="n"/>
      <c r="C586" s="16" t="n"/>
      <c r="D586" s="16" t="n"/>
      <c r="E586" s="17" t="n"/>
    </row>
    <row r="587">
      <c r="B587" s="15" t="n"/>
      <c r="C587" s="16" t="n"/>
      <c r="D587" s="16" t="n"/>
      <c r="E587" s="17" t="n"/>
    </row>
    <row r="588">
      <c r="B588" s="15" t="n"/>
      <c r="C588" s="16" t="n"/>
      <c r="D588" s="16" t="n"/>
      <c r="E588" s="17" t="n"/>
    </row>
    <row r="589">
      <c r="B589" s="15" t="n"/>
      <c r="C589" s="16" t="n"/>
      <c r="D589" s="16" t="n"/>
      <c r="E589" s="17" t="n"/>
    </row>
    <row r="590">
      <c r="B590" s="15" t="n"/>
      <c r="C590" s="16" t="n"/>
      <c r="D590" s="16" t="n"/>
      <c r="E590" s="17" t="n"/>
    </row>
    <row r="591">
      <c r="B591" s="15" t="n"/>
      <c r="C591" s="16" t="n"/>
      <c r="D591" s="16" t="n"/>
      <c r="E591" s="17" t="n"/>
    </row>
    <row r="592">
      <c r="B592" s="15" t="n"/>
      <c r="C592" s="16" t="n"/>
      <c r="D592" s="16" t="n"/>
      <c r="E592" s="17" t="n"/>
    </row>
    <row r="593">
      <c r="B593" s="15" t="n"/>
      <c r="C593" s="16" t="n"/>
      <c r="D593" s="16" t="n"/>
      <c r="E593" s="17" t="n"/>
    </row>
    <row r="594">
      <c r="B594" s="15" t="n"/>
      <c r="C594" s="16" t="n"/>
      <c r="D594" s="16" t="n"/>
      <c r="E594" s="17" t="n"/>
    </row>
    <row r="595">
      <c r="B595" s="15" t="n"/>
      <c r="C595" s="16" t="n"/>
      <c r="D595" s="16" t="n"/>
      <c r="E595" s="17" t="n"/>
    </row>
    <row r="596">
      <c r="B596" s="15" t="n"/>
      <c r="C596" s="16" t="n"/>
      <c r="D596" s="16" t="n"/>
      <c r="E596" s="17" t="n"/>
    </row>
    <row r="597">
      <c r="B597" s="15" t="n"/>
      <c r="C597" s="16" t="n"/>
      <c r="D597" s="16" t="n"/>
      <c r="E597" s="17" t="n"/>
    </row>
    <row r="598">
      <c r="B598" s="15" t="n"/>
      <c r="C598" s="16" t="n"/>
      <c r="D598" s="16" t="n"/>
      <c r="E598" s="17" t="n"/>
    </row>
    <row r="599">
      <c r="B599" s="15" t="n"/>
      <c r="C599" s="16" t="n"/>
      <c r="D599" s="16" t="n"/>
      <c r="E599" s="17" t="n"/>
    </row>
    <row r="600">
      <c r="B600" s="15" t="n"/>
      <c r="C600" s="16" t="n"/>
      <c r="D600" s="16" t="n"/>
      <c r="E600" s="17" t="n"/>
    </row>
    <row r="601">
      <c r="B601" s="15" t="n"/>
      <c r="C601" s="16" t="n"/>
      <c r="D601" s="16" t="n"/>
      <c r="E601" s="17" t="n"/>
    </row>
    <row r="602">
      <c r="B602" s="15" t="n"/>
      <c r="C602" s="16" t="n"/>
      <c r="D602" s="16" t="n"/>
      <c r="E602" s="17" t="n"/>
    </row>
    <row r="603">
      <c r="B603" s="15" t="n"/>
      <c r="C603" s="16" t="n"/>
      <c r="D603" s="16" t="n"/>
      <c r="E603" s="17" t="n"/>
    </row>
    <row r="604">
      <c r="B604" s="15" t="n"/>
      <c r="C604" s="16" t="n"/>
      <c r="D604" s="16" t="n"/>
      <c r="E604" s="17" t="n"/>
    </row>
    <row r="605">
      <c r="B605" s="15" t="n"/>
      <c r="C605" s="16" t="n"/>
      <c r="D605" s="16" t="n"/>
      <c r="E605" s="17" t="n"/>
    </row>
    <row r="606">
      <c r="B606" s="15" t="n"/>
      <c r="C606" s="16" t="n"/>
      <c r="D606" s="16" t="n"/>
      <c r="E606" s="17" t="n"/>
    </row>
    <row r="607">
      <c r="B607" s="15" t="n"/>
      <c r="C607" s="16" t="n"/>
      <c r="D607" s="16" t="n"/>
      <c r="E607" s="17" t="n"/>
    </row>
    <row r="608">
      <c r="B608" s="15" t="n"/>
      <c r="C608" s="16" t="n"/>
      <c r="D608" s="16" t="n"/>
      <c r="E608" s="17" t="n"/>
    </row>
    <row r="609">
      <c r="B609" s="15" t="n"/>
      <c r="C609" s="16" t="n"/>
      <c r="D609" s="16" t="n"/>
      <c r="E609" s="17" t="n"/>
    </row>
    <row r="610">
      <c r="B610" s="15" t="n"/>
      <c r="C610" s="16" t="n"/>
      <c r="D610" s="16" t="n"/>
      <c r="E610" s="17" t="n"/>
    </row>
    <row r="611">
      <c r="B611" s="15" t="n"/>
      <c r="C611" s="16" t="n"/>
      <c r="D611" s="16" t="n"/>
      <c r="E611" s="17" t="n"/>
    </row>
    <row r="612">
      <c r="B612" s="15" t="n"/>
      <c r="C612" s="16" t="n"/>
      <c r="D612" s="16" t="n"/>
      <c r="E612" s="17" t="n"/>
    </row>
    <row r="613">
      <c r="B613" s="15" t="n"/>
      <c r="C613" s="16" t="n"/>
      <c r="D613" s="16" t="n"/>
      <c r="E613" s="17" t="n"/>
    </row>
    <row r="614">
      <c r="B614" s="15" t="n"/>
      <c r="C614" s="16" t="n"/>
      <c r="D614" s="16" t="n"/>
      <c r="E614" s="17" t="n"/>
    </row>
    <row r="615">
      <c r="B615" s="15" t="n"/>
      <c r="C615" s="16" t="n"/>
      <c r="D615" s="16" t="n"/>
      <c r="E615" s="17" t="n"/>
    </row>
    <row r="616">
      <c r="B616" s="15" t="n"/>
      <c r="C616" s="16" t="n"/>
      <c r="D616" s="16" t="n"/>
      <c r="E616" s="17" t="n"/>
    </row>
    <row r="617">
      <c r="B617" s="15" t="n"/>
      <c r="C617" s="16" t="n"/>
      <c r="D617" s="16" t="n"/>
      <c r="E617" s="17" t="n"/>
    </row>
    <row r="618">
      <c r="B618" s="15" t="n"/>
      <c r="C618" s="16" t="n"/>
      <c r="D618" s="16" t="n"/>
      <c r="E618" s="17" t="n"/>
    </row>
    <row r="619">
      <c r="B619" s="15" t="n"/>
      <c r="C619" s="16" t="n"/>
      <c r="D619" s="16" t="n"/>
      <c r="E619" s="17" t="n"/>
    </row>
    <row r="620">
      <c r="B620" s="15" t="n"/>
      <c r="C620" s="16" t="n"/>
      <c r="D620" s="16" t="n"/>
      <c r="E620" s="17" t="n"/>
    </row>
    <row r="621">
      <c r="B621" s="15" t="n"/>
      <c r="C621" s="16" t="n"/>
      <c r="D621" s="16" t="n"/>
      <c r="E621" s="17" t="n"/>
    </row>
    <row r="622">
      <c r="B622" s="15" t="n"/>
      <c r="C622" s="16" t="n"/>
      <c r="D622" s="16" t="n"/>
      <c r="E622" s="17" t="n"/>
    </row>
    <row r="623">
      <c r="B623" s="15" t="n"/>
      <c r="C623" s="16" t="n"/>
      <c r="D623" s="16" t="n"/>
      <c r="E623" s="17" t="n"/>
    </row>
    <row r="624">
      <c r="B624" s="15" t="n"/>
      <c r="C624" s="16" t="n"/>
      <c r="D624" s="16" t="n"/>
      <c r="E624" s="17" t="n"/>
    </row>
    <row r="625">
      <c r="B625" s="15" t="n"/>
      <c r="C625" s="16" t="n"/>
      <c r="D625" s="16" t="n"/>
      <c r="E625" s="17" t="n"/>
    </row>
    <row r="626">
      <c r="B626" s="15" t="n"/>
      <c r="C626" s="16" t="n"/>
      <c r="D626" s="16" t="n"/>
      <c r="E626" s="17" t="n"/>
    </row>
    <row r="627">
      <c r="B627" s="15" t="n"/>
      <c r="C627" s="16" t="n"/>
      <c r="D627" s="16" t="n"/>
      <c r="E627" s="17" t="n"/>
    </row>
    <row r="628">
      <c r="B628" s="15" t="n"/>
      <c r="C628" s="16" t="n"/>
      <c r="D628" s="16" t="n"/>
      <c r="E628" s="17" t="n"/>
    </row>
    <row r="629">
      <c r="B629" s="15" t="n"/>
      <c r="C629" s="16" t="n"/>
      <c r="D629" s="16" t="n"/>
      <c r="E629" s="17" t="n"/>
    </row>
    <row r="630">
      <c r="B630" s="15" t="n"/>
      <c r="C630" s="16" t="n"/>
      <c r="D630" s="16" t="n"/>
      <c r="E630" s="17" t="n"/>
    </row>
    <row r="631">
      <c r="B631" s="15" t="n"/>
      <c r="C631" s="16" t="n"/>
      <c r="D631" s="16" t="n"/>
      <c r="E631" s="17" t="n"/>
    </row>
    <row r="632">
      <c r="B632" s="15" t="n"/>
      <c r="C632" s="16" t="n"/>
      <c r="D632" s="16" t="n"/>
      <c r="E632" s="17" t="n"/>
    </row>
    <row r="633">
      <c r="B633" s="15" t="n"/>
      <c r="C633" s="16" t="n"/>
      <c r="D633" s="16" t="n"/>
      <c r="E633" s="17" t="n"/>
    </row>
    <row r="634">
      <c r="B634" s="15" t="n"/>
      <c r="C634" s="16" t="n"/>
      <c r="D634" s="16" t="n"/>
      <c r="E634" s="17" t="n"/>
    </row>
    <row r="635">
      <c r="B635" s="15" t="n"/>
      <c r="C635" s="16" t="n"/>
      <c r="D635" s="16" t="n"/>
      <c r="E635" s="17" t="n"/>
    </row>
    <row r="636">
      <c r="B636" s="15" t="n"/>
      <c r="C636" s="16" t="n"/>
      <c r="D636" s="16" t="n"/>
      <c r="E636" s="17" t="n"/>
    </row>
    <row r="637">
      <c r="B637" s="15" t="n"/>
      <c r="C637" s="16" t="n"/>
      <c r="D637" s="16" t="n"/>
      <c r="E637" s="17" t="n"/>
    </row>
    <row r="638">
      <c r="B638" s="15" t="n"/>
      <c r="C638" s="16" t="n"/>
      <c r="D638" s="16" t="n"/>
      <c r="E638" s="17" t="n"/>
    </row>
    <row r="639">
      <c r="B639" s="15" t="n"/>
      <c r="C639" s="16" t="n"/>
      <c r="D639" s="16" t="n"/>
      <c r="E639" s="17" t="n"/>
    </row>
    <row r="640">
      <c r="B640" s="15" t="n"/>
      <c r="C640" s="16" t="n"/>
      <c r="D640" s="16" t="n"/>
      <c r="E640" s="17" t="n"/>
    </row>
    <row r="641">
      <c r="B641" s="15" t="n"/>
      <c r="C641" s="16" t="n"/>
      <c r="D641" s="16" t="n"/>
      <c r="E641" s="17" t="n"/>
    </row>
    <row r="642">
      <c r="B642" s="15" t="n"/>
      <c r="C642" s="16" t="n"/>
      <c r="D642" s="16" t="n"/>
      <c r="E642" s="17" t="n"/>
    </row>
    <row r="643">
      <c r="B643" s="15" t="n"/>
      <c r="C643" s="16" t="n"/>
      <c r="D643" s="16" t="n"/>
      <c r="E643" s="17" t="n"/>
    </row>
    <row r="644">
      <c r="B644" s="15" t="n"/>
      <c r="C644" s="16" t="n"/>
      <c r="D644" s="16" t="n"/>
      <c r="E644" s="17" t="n"/>
    </row>
    <row r="645">
      <c r="B645" s="15" t="n"/>
      <c r="C645" s="16" t="n"/>
      <c r="D645" s="16" t="n"/>
      <c r="E645" s="17" t="n"/>
    </row>
    <row r="646">
      <c r="B646" s="15" t="n"/>
      <c r="C646" s="16" t="n"/>
      <c r="D646" s="16" t="n"/>
      <c r="E646" s="17" t="n"/>
    </row>
    <row r="647">
      <c r="B647" s="15" t="n"/>
      <c r="C647" s="16" t="n"/>
      <c r="D647" s="16" t="n"/>
      <c r="E647" s="17" t="n"/>
    </row>
    <row r="648">
      <c r="B648" s="15" t="n"/>
      <c r="C648" s="16" t="n"/>
      <c r="D648" s="16" t="n"/>
      <c r="E648" s="17" t="n"/>
    </row>
    <row r="649">
      <c r="B649" s="15" t="n"/>
      <c r="C649" s="16" t="n"/>
      <c r="D649" s="16" t="n"/>
      <c r="E649" s="17" t="n"/>
    </row>
    <row r="650">
      <c r="B650" s="15" t="n"/>
      <c r="C650" s="16" t="n"/>
      <c r="D650" s="16" t="n"/>
      <c r="E650" s="17" t="n"/>
    </row>
    <row r="651">
      <c r="B651" s="15" t="n"/>
      <c r="C651" s="16" t="n"/>
      <c r="D651" s="16" t="n"/>
      <c r="E651" s="17" t="n"/>
    </row>
    <row r="652">
      <c r="B652" s="15" t="n"/>
      <c r="C652" s="16" t="n"/>
      <c r="D652" s="16" t="n"/>
      <c r="E652" s="17" t="n"/>
    </row>
    <row r="653">
      <c r="B653" s="15" t="n"/>
      <c r="C653" s="16" t="n"/>
      <c r="D653" s="16" t="n"/>
      <c r="E653" s="17" t="n"/>
    </row>
    <row r="654">
      <c r="B654" s="15" t="n"/>
      <c r="C654" s="16" t="n"/>
      <c r="D654" s="16" t="n"/>
      <c r="E654" s="17" t="n"/>
    </row>
    <row r="655">
      <c r="B655" s="15" t="n"/>
      <c r="C655" s="16" t="n"/>
      <c r="D655" s="16" t="n"/>
      <c r="E655" s="17" t="n"/>
    </row>
    <row r="656">
      <c r="B656" s="15" t="n"/>
      <c r="C656" s="16" t="n"/>
      <c r="D656" s="16" t="n"/>
      <c r="E656" s="17" t="n"/>
    </row>
    <row r="657">
      <c r="B657" s="15" t="n"/>
      <c r="C657" s="16" t="n"/>
      <c r="D657" s="16" t="n"/>
      <c r="E657" s="17" t="n"/>
    </row>
    <row r="658">
      <c r="B658" s="15" t="n"/>
      <c r="C658" s="16" t="n"/>
      <c r="D658" s="16" t="n"/>
      <c r="E658" s="17" t="n"/>
    </row>
    <row r="659">
      <c r="B659" s="15" t="n"/>
      <c r="C659" s="16" t="n"/>
      <c r="D659" s="16" t="n"/>
      <c r="E659" s="17" t="n"/>
    </row>
    <row r="660">
      <c r="B660" s="15" t="n"/>
      <c r="C660" s="16" t="n"/>
      <c r="D660" s="16" t="n"/>
      <c r="E660" s="17" t="n"/>
    </row>
    <row r="661">
      <c r="B661" s="15" t="n"/>
      <c r="C661" s="16" t="n"/>
      <c r="D661" s="16" t="n"/>
      <c r="E661" s="17" t="n"/>
    </row>
    <row r="662">
      <c r="B662" s="15" t="n"/>
      <c r="C662" s="16" t="n"/>
      <c r="D662" s="16" t="n"/>
      <c r="E662" s="17" t="n"/>
    </row>
    <row r="663">
      <c r="B663" s="15" t="n"/>
      <c r="C663" s="16" t="n"/>
      <c r="D663" s="16" t="n"/>
      <c r="E663" s="17" t="n"/>
    </row>
    <row r="664">
      <c r="B664" s="15" t="n"/>
      <c r="C664" s="16" t="n"/>
      <c r="D664" s="16" t="n"/>
      <c r="E664" s="17" t="n"/>
    </row>
    <row r="665">
      <c r="B665" s="12" t="n"/>
      <c r="C665" s="13" t="n"/>
      <c r="D665" s="13" t="n"/>
      <c r="E665" s="14" t="n"/>
    </row>
    <row r="666">
      <c r="B666" s="15" t="n"/>
      <c r="C666" s="16" t="n"/>
      <c r="D666" s="16" t="n"/>
      <c r="E666" s="17" t="n"/>
    </row>
    <row r="667">
      <c r="B667" s="15" t="n"/>
      <c r="C667" s="16" t="n"/>
      <c r="D667" s="16" t="n"/>
      <c r="E667" s="17" t="n"/>
    </row>
    <row r="668">
      <c r="B668" s="15" t="n"/>
      <c r="C668" s="16" t="n"/>
      <c r="D668" s="16" t="n"/>
      <c r="E668" s="17" t="n"/>
    </row>
    <row r="669">
      <c r="B669" s="15" t="n"/>
      <c r="C669" s="16" t="n"/>
      <c r="D669" s="16" t="n"/>
      <c r="E669" s="17" t="n"/>
    </row>
    <row r="670">
      <c r="B670" s="15" t="n"/>
      <c r="C670" s="16" t="n"/>
      <c r="D670" s="16" t="n"/>
      <c r="E670" s="17" t="n"/>
    </row>
    <row r="671">
      <c r="B671" s="15" t="n"/>
      <c r="C671" s="16" t="n"/>
      <c r="D671" s="16" t="n"/>
      <c r="E671" s="17" t="n"/>
    </row>
    <row r="672">
      <c r="B672" s="15" t="n"/>
      <c r="C672" s="16" t="n"/>
      <c r="D672" s="16" t="n"/>
      <c r="E672" s="17" t="n"/>
    </row>
    <row r="673">
      <c r="B673" s="15" t="n"/>
      <c r="C673" s="16" t="n"/>
      <c r="D673" s="16" t="n"/>
      <c r="E673" s="17" t="n"/>
    </row>
    <row r="674">
      <c r="B674" s="15" t="n"/>
      <c r="C674" s="16" t="n"/>
      <c r="D674" s="16" t="n"/>
      <c r="E674" s="17" t="n"/>
    </row>
    <row r="675">
      <c r="B675" s="15" t="n"/>
      <c r="C675" s="16" t="n"/>
      <c r="D675" s="16" t="n"/>
      <c r="E675" s="17" t="n"/>
    </row>
    <row r="676">
      <c r="B676" s="15" t="n"/>
      <c r="C676" s="16" t="n"/>
      <c r="D676" s="16" t="n"/>
      <c r="E676" s="17" t="n"/>
    </row>
    <row r="677">
      <c r="B677" s="15" t="n"/>
      <c r="C677" s="16" t="n"/>
      <c r="D677" s="16" t="n"/>
      <c r="E677" s="17" t="n"/>
    </row>
    <row r="678">
      <c r="B678" s="15" t="n"/>
      <c r="C678" s="16" t="n"/>
      <c r="D678" s="16" t="n"/>
      <c r="E678" s="17" t="n"/>
    </row>
    <row r="679">
      <c r="B679" s="15" t="n"/>
      <c r="C679" s="16" t="n"/>
      <c r="D679" s="16" t="n"/>
      <c r="E679" s="17" t="n"/>
    </row>
    <row r="680">
      <c r="B680" s="15" t="n"/>
      <c r="C680" s="16" t="n"/>
      <c r="D680" s="16" t="n"/>
      <c r="E680" s="17" t="n"/>
    </row>
    <row r="681">
      <c r="B681" s="15" t="n"/>
      <c r="C681" s="16" t="n"/>
      <c r="D681" s="16" t="n"/>
      <c r="E681" s="17" t="n"/>
    </row>
    <row r="682">
      <c r="B682" s="15" t="n"/>
      <c r="C682" s="16" t="n"/>
      <c r="D682" s="16" t="n"/>
      <c r="E682" s="17" t="n"/>
    </row>
    <row r="683">
      <c r="B683" s="15" t="n"/>
      <c r="C683" s="16" t="n"/>
      <c r="D683" s="16" t="n"/>
      <c r="E683" s="17" t="n"/>
    </row>
    <row r="684">
      <c r="B684" s="15" t="n"/>
      <c r="C684" s="16" t="n"/>
      <c r="D684" s="16" t="n"/>
      <c r="E684" s="17" t="n"/>
    </row>
    <row r="685">
      <c r="B685" s="15" t="n"/>
      <c r="C685" s="16" t="n"/>
      <c r="D685" s="16" t="n"/>
      <c r="E685" s="17" t="n"/>
    </row>
    <row r="686">
      <c r="B686" s="15" t="n"/>
      <c r="C686" s="16" t="n"/>
      <c r="D686" s="16" t="n"/>
      <c r="E686" s="17" t="n"/>
    </row>
    <row r="687">
      <c r="B687" s="15" t="n"/>
      <c r="C687" s="16" t="n"/>
      <c r="D687" s="16" t="n"/>
      <c r="E687" s="17" t="n"/>
    </row>
    <row r="688">
      <c r="B688" s="15" t="n"/>
      <c r="C688" s="16" t="n"/>
      <c r="D688" s="16" t="n"/>
      <c r="E688" s="17" t="n"/>
    </row>
    <row r="689">
      <c r="B689" s="15" t="n"/>
      <c r="C689" s="16" t="n"/>
      <c r="D689" s="16" t="n"/>
      <c r="E689" s="17" t="n"/>
    </row>
    <row r="690">
      <c r="B690" s="15" t="n"/>
      <c r="C690" s="16" t="n"/>
      <c r="D690" s="16" t="n"/>
      <c r="E690" s="17" t="n"/>
    </row>
    <row r="691">
      <c r="B691" s="15" t="n"/>
      <c r="C691" s="16" t="n"/>
      <c r="D691" s="16" t="n"/>
      <c r="E691" s="17" t="n"/>
    </row>
    <row r="692">
      <c r="B692" s="15" t="n"/>
      <c r="C692" s="16" t="n"/>
      <c r="D692" s="16" t="n"/>
      <c r="E692" s="17" t="n"/>
    </row>
    <row r="693">
      <c r="B693" s="15" t="n"/>
      <c r="C693" s="16" t="n"/>
      <c r="D693" s="16" t="n"/>
      <c r="E693" s="17" t="n"/>
    </row>
    <row r="694">
      <c r="B694" s="15" t="n"/>
      <c r="C694" s="16" t="n"/>
      <c r="D694" s="16" t="n"/>
      <c r="E694" s="17" t="n"/>
    </row>
    <row r="695">
      <c r="B695" s="15" t="n"/>
      <c r="C695" s="16" t="n"/>
      <c r="D695" s="16" t="n"/>
      <c r="E695" s="17" t="n"/>
    </row>
    <row r="696">
      <c r="B696" s="15" t="n"/>
      <c r="C696" s="16" t="n"/>
      <c r="D696" s="16" t="n"/>
      <c r="E696" s="17" t="n"/>
    </row>
    <row r="697">
      <c r="B697" s="15" t="n"/>
      <c r="C697" s="16" t="n"/>
      <c r="D697" s="16" t="n"/>
      <c r="E697" s="17" t="n"/>
    </row>
    <row r="698">
      <c r="B698" s="15" t="n"/>
      <c r="C698" s="16" t="n"/>
      <c r="D698" s="16" t="n"/>
      <c r="E698" s="17" t="n"/>
    </row>
    <row r="699">
      <c r="B699" s="15" t="n"/>
      <c r="C699" s="16" t="n"/>
      <c r="D699" s="16" t="n"/>
      <c r="E699" s="17" t="n"/>
    </row>
    <row r="700">
      <c r="B700" s="15" t="n"/>
      <c r="C700" s="16" t="n"/>
      <c r="D700" s="16" t="n"/>
      <c r="E700" s="17" t="n"/>
    </row>
    <row r="701">
      <c r="B701" s="15" t="n"/>
      <c r="C701" s="16" t="n"/>
      <c r="D701" s="16" t="n"/>
      <c r="E701" s="17" t="n"/>
    </row>
    <row r="702">
      <c r="B702" s="15" t="n"/>
      <c r="C702" s="16" t="n"/>
      <c r="D702" s="16" t="n"/>
      <c r="E702" s="17" t="n"/>
    </row>
    <row r="703">
      <c r="B703" s="15" t="n"/>
      <c r="C703" s="16" t="n"/>
      <c r="D703" s="16" t="n"/>
      <c r="E703" s="17" t="n"/>
    </row>
    <row r="704">
      <c r="B704" s="15" t="n"/>
      <c r="C704" s="16" t="n"/>
      <c r="D704" s="16" t="n"/>
      <c r="E704" s="17" t="n"/>
    </row>
    <row r="705">
      <c r="B705" s="15" t="n"/>
      <c r="C705" s="16" t="n"/>
      <c r="D705" s="16" t="n"/>
      <c r="E705" s="17" t="n"/>
    </row>
    <row r="706">
      <c r="B706" s="15" t="n"/>
      <c r="C706" s="16" t="n"/>
      <c r="D706" s="16" t="n"/>
      <c r="E706" s="17" t="n"/>
    </row>
    <row r="707">
      <c r="B707" s="15" t="n"/>
      <c r="C707" s="16" t="n"/>
      <c r="D707" s="16" t="n"/>
      <c r="E707" s="17" t="n"/>
    </row>
    <row r="708">
      <c r="B708" s="15" t="n"/>
      <c r="C708" s="16" t="n"/>
      <c r="D708" s="16" t="n"/>
      <c r="E708" s="17" t="n"/>
    </row>
    <row r="709">
      <c r="B709" s="15" t="n"/>
      <c r="C709" s="16" t="n"/>
      <c r="D709" s="16" t="n"/>
      <c r="E709" s="17" t="n"/>
    </row>
    <row r="710">
      <c r="B710" s="15" t="n"/>
      <c r="C710" s="16" t="n"/>
      <c r="D710" s="16" t="n"/>
      <c r="E710" s="17" t="n"/>
    </row>
    <row r="711">
      <c r="B711" s="15" t="n"/>
      <c r="C711" s="16" t="n"/>
      <c r="D711" s="16" t="n"/>
      <c r="E711" s="17" t="n"/>
    </row>
    <row r="712">
      <c r="B712" s="15" t="n"/>
      <c r="C712" s="16" t="n"/>
      <c r="D712" s="16" t="n"/>
      <c r="E712" s="17" t="n"/>
    </row>
    <row r="713">
      <c r="B713" s="15" t="n"/>
      <c r="C713" s="16" t="n"/>
      <c r="D713" s="16" t="n"/>
      <c r="E713" s="17" t="n"/>
    </row>
    <row r="714">
      <c r="B714" s="15" t="n"/>
      <c r="C714" s="16" t="n"/>
      <c r="D714" s="16" t="n"/>
      <c r="E714" s="17" t="n"/>
    </row>
    <row r="715">
      <c r="B715" s="15" t="n"/>
      <c r="C715" s="16" t="n"/>
      <c r="D715" s="16" t="n"/>
      <c r="E715" s="17" t="n"/>
    </row>
    <row r="716">
      <c r="B716" s="15" t="n"/>
      <c r="C716" s="16" t="n"/>
      <c r="D716" s="16" t="n"/>
      <c r="E716" s="17" t="n"/>
    </row>
    <row r="717">
      <c r="B717" s="15" t="n"/>
      <c r="C717" s="16" t="n"/>
      <c r="D717" s="16" t="n"/>
      <c r="E717" s="17" t="n"/>
    </row>
    <row r="718">
      <c r="B718" s="15" t="n"/>
      <c r="C718" s="16" t="n"/>
      <c r="D718" s="16" t="n"/>
      <c r="E718" s="17" t="n"/>
    </row>
    <row r="719">
      <c r="B719" s="15" t="n"/>
      <c r="C719" s="16" t="n"/>
      <c r="D719" s="16" t="n"/>
      <c r="E719" s="17" t="n"/>
    </row>
    <row r="720">
      <c r="B720" s="15" t="n"/>
      <c r="C720" s="16" t="n"/>
      <c r="D720" s="16" t="n"/>
      <c r="E720" s="17" t="n"/>
    </row>
    <row r="721">
      <c r="B721" s="15" t="n"/>
      <c r="C721" s="16" t="n"/>
      <c r="D721" s="16" t="n"/>
      <c r="E721" s="17" t="n"/>
    </row>
    <row r="722">
      <c r="B722" s="15" t="n"/>
      <c r="C722" s="16" t="n"/>
      <c r="D722" s="16" t="n"/>
      <c r="E722" s="17" t="n"/>
    </row>
    <row r="723">
      <c r="B723" s="15" t="n"/>
      <c r="C723" s="16" t="n"/>
      <c r="D723" s="16" t="n"/>
      <c r="E723" s="17" t="n"/>
    </row>
    <row r="724">
      <c r="B724" s="15" t="n"/>
      <c r="C724" s="16" t="n"/>
      <c r="D724" s="16" t="n"/>
      <c r="E724" s="17" t="n"/>
    </row>
    <row r="725">
      <c r="B725" s="15" t="n"/>
      <c r="C725" s="16" t="n"/>
      <c r="D725" s="16" t="n"/>
      <c r="E725" s="17" t="n"/>
    </row>
    <row r="726">
      <c r="B726" s="15" t="n"/>
      <c r="C726" s="16" t="n"/>
      <c r="D726" s="16" t="n"/>
      <c r="E726" s="17" t="n"/>
    </row>
    <row r="727">
      <c r="B727" s="15" t="n"/>
      <c r="C727" s="16" t="n"/>
      <c r="D727" s="16" t="n"/>
      <c r="E727" s="17" t="n"/>
    </row>
    <row r="728">
      <c r="B728" s="15" t="n"/>
      <c r="C728" s="16" t="n"/>
      <c r="D728" s="16" t="n"/>
      <c r="E728" s="17" t="n"/>
    </row>
    <row r="729">
      <c r="B729" s="15" t="n"/>
      <c r="C729" s="16" t="n"/>
      <c r="D729" s="16" t="n"/>
      <c r="E729" s="17" t="n"/>
    </row>
    <row r="730">
      <c r="B730" s="15" t="n"/>
      <c r="C730" s="16" t="n"/>
      <c r="D730" s="16" t="n"/>
      <c r="E730" s="17" t="n"/>
    </row>
    <row r="731">
      <c r="B731" s="15" t="n"/>
      <c r="C731" s="16" t="n"/>
      <c r="D731" s="16" t="n"/>
      <c r="E731" s="17" t="n"/>
    </row>
    <row r="732">
      <c r="B732" s="15" t="n"/>
      <c r="C732" s="16" t="n"/>
      <c r="D732" s="16" t="n"/>
      <c r="E732" s="17" t="n"/>
    </row>
    <row r="733">
      <c r="B733" s="15" t="n"/>
      <c r="C733" s="16" t="n"/>
      <c r="D733" s="16" t="n"/>
      <c r="E733" s="17" t="n"/>
    </row>
    <row r="734">
      <c r="B734" s="15" t="n"/>
      <c r="C734" s="16" t="n"/>
      <c r="D734" s="16" t="n"/>
      <c r="E734" s="17" t="n"/>
    </row>
    <row r="735">
      <c r="B735" s="15" t="n"/>
      <c r="C735" s="16" t="n"/>
      <c r="D735" s="16" t="n"/>
      <c r="E735" s="17" t="n"/>
    </row>
    <row r="736">
      <c r="B736" s="15" t="n"/>
      <c r="C736" s="16" t="n"/>
      <c r="D736" s="16" t="n"/>
      <c r="E736" s="17" t="n"/>
    </row>
    <row r="737">
      <c r="B737" s="15" t="n"/>
      <c r="C737" s="16" t="n"/>
      <c r="D737" s="16" t="n"/>
      <c r="E737" s="17" t="n"/>
    </row>
    <row r="738">
      <c r="B738" s="15" t="n"/>
      <c r="C738" s="16" t="n"/>
      <c r="D738" s="16" t="n"/>
      <c r="E738" s="17" t="n"/>
    </row>
    <row r="739">
      <c r="B739" s="15" t="n"/>
      <c r="C739" s="16" t="n"/>
      <c r="D739" s="16" t="n"/>
      <c r="E739" s="17" t="n"/>
    </row>
    <row r="740">
      <c r="B740" s="15" t="n"/>
      <c r="C740" s="16" t="n"/>
      <c r="D740" s="16" t="n"/>
      <c r="E740" s="17" t="n"/>
    </row>
    <row r="741">
      <c r="B741" s="15" t="n"/>
      <c r="C741" s="16" t="n"/>
      <c r="D741" s="16" t="n"/>
      <c r="E741" s="17" t="n"/>
    </row>
    <row r="742">
      <c r="B742" s="15" t="n"/>
      <c r="C742" s="16" t="n"/>
      <c r="D742" s="16" t="n"/>
      <c r="E742" s="17" t="n"/>
    </row>
    <row r="743">
      <c r="B743" s="15" t="n"/>
      <c r="C743" s="16" t="n"/>
      <c r="D743" s="16" t="n"/>
      <c r="E743" s="17" t="n"/>
    </row>
    <row r="744">
      <c r="B744" s="15" t="n"/>
      <c r="C744" s="16" t="n"/>
      <c r="D744" s="16" t="n"/>
      <c r="E744" s="17" t="n"/>
    </row>
    <row r="745">
      <c r="B745" s="15" t="n"/>
      <c r="C745" s="16" t="n"/>
      <c r="D745" s="16" t="n"/>
      <c r="E745" s="17" t="n"/>
    </row>
    <row r="746">
      <c r="B746" s="15" t="n"/>
      <c r="C746" s="16" t="n"/>
      <c r="D746" s="16" t="n"/>
      <c r="E746" s="17" t="n"/>
    </row>
    <row r="747">
      <c r="B747" s="15" t="n"/>
      <c r="C747" s="16" t="n"/>
      <c r="D747" s="16" t="n"/>
      <c r="E747" s="17" t="n"/>
    </row>
    <row r="748">
      <c r="B748" s="15" t="n"/>
      <c r="C748" s="16" t="n"/>
      <c r="D748" s="16" t="n"/>
      <c r="E748" s="17" t="n"/>
    </row>
    <row r="749">
      <c r="B749" s="15" t="n"/>
      <c r="C749" s="16" t="n"/>
      <c r="D749" s="16" t="n"/>
      <c r="E749" s="17" t="n"/>
    </row>
    <row r="750">
      <c r="B750" s="15" t="n"/>
      <c r="C750" s="16" t="n"/>
      <c r="D750" s="16" t="n"/>
      <c r="E750" s="17" t="n"/>
    </row>
    <row r="751">
      <c r="B751" s="15" t="n"/>
      <c r="C751" s="16" t="n"/>
      <c r="D751" s="16" t="n"/>
      <c r="E751" s="17" t="n"/>
    </row>
    <row r="752">
      <c r="B752" s="15" t="n"/>
      <c r="C752" s="16" t="n"/>
      <c r="D752" s="16" t="n"/>
      <c r="E752" s="17" t="n"/>
    </row>
    <row r="753">
      <c r="B753" s="15" t="n"/>
      <c r="C753" s="16" t="n"/>
      <c r="D753" s="16" t="n"/>
      <c r="E753" s="17" t="n"/>
    </row>
    <row r="754">
      <c r="B754" s="15" t="n"/>
      <c r="C754" s="16" t="n"/>
      <c r="D754" s="16" t="n"/>
      <c r="E754" s="17" t="n"/>
    </row>
    <row r="755">
      <c r="B755" s="15" t="n"/>
      <c r="C755" s="16" t="n"/>
      <c r="D755" s="16" t="n"/>
      <c r="E755" s="17" t="n"/>
    </row>
    <row r="756">
      <c r="B756" s="15" t="n"/>
      <c r="C756" s="16" t="n"/>
      <c r="D756" s="16" t="n"/>
      <c r="E756" s="17" t="n"/>
    </row>
    <row r="757">
      <c r="B757" s="15" t="n"/>
      <c r="C757" s="16" t="n"/>
      <c r="D757" s="16" t="n"/>
      <c r="E757" s="17" t="n"/>
    </row>
    <row r="758">
      <c r="B758" s="15" t="n"/>
      <c r="C758" s="16" t="n"/>
      <c r="D758" s="16" t="n"/>
      <c r="E758" s="17" t="n"/>
    </row>
    <row r="759">
      <c r="B759" s="15" t="n"/>
      <c r="C759" s="16" t="n"/>
      <c r="D759" s="16" t="n"/>
      <c r="E759" s="17" t="n"/>
    </row>
    <row r="760">
      <c r="B760" s="15" t="n"/>
      <c r="C760" s="16" t="n"/>
      <c r="D760" s="16" t="n"/>
      <c r="E760" s="17" t="n"/>
    </row>
    <row r="761">
      <c r="B761" s="15" t="n"/>
      <c r="C761" s="16" t="n"/>
      <c r="D761" s="16" t="n"/>
      <c r="E761" s="17" t="n"/>
    </row>
    <row r="762">
      <c r="B762" s="15" t="n"/>
      <c r="C762" s="16" t="n"/>
      <c r="D762" s="16" t="n"/>
      <c r="E762" s="17" t="n"/>
    </row>
    <row r="763">
      <c r="B763" s="15" t="n"/>
      <c r="C763" s="16" t="n"/>
      <c r="D763" s="16" t="n"/>
      <c r="E763" s="17" t="n"/>
    </row>
    <row r="764">
      <c r="B764" s="15" t="n"/>
      <c r="C764" s="16" t="n"/>
      <c r="D764" s="16" t="n"/>
      <c r="E764" s="17" t="n"/>
    </row>
    <row r="765">
      <c r="B765" s="15" t="n"/>
      <c r="C765" s="16" t="n"/>
      <c r="D765" s="16" t="n"/>
      <c r="E765" s="17" t="n"/>
    </row>
    <row r="766">
      <c r="B766" s="15" t="n"/>
      <c r="C766" s="16" t="n"/>
      <c r="D766" s="16" t="n"/>
      <c r="E766" s="17" t="n"/>
    </row>
    <row r="767">
      <c r="B767" s="15" t="n"/>
      <c r="C767" s="16" t="n"/>
      <c r="D767" s="16" t="n"/>
      <c r="E767" s="17" t="n"/>
    </row>
    <row r="768">
      <c r="B768" s="15" t="n"/>
      <c r="C768" s="16" t="n"/>
      <c r="D768" s="16" t="n"/>
      <c r="E768" s="17" t="n"/>
    </row>
    <row r="769">
      <c r="B769" s="15" t="n"/>
      <c r="C769" s="16" t="n"/>
      <c r="D769" s="16" t="n"/>
      <c r="E769" s="17" t="n"/>
    </row>
    <row r="770">
      <c r="B770" s="15" t="n"/>
      <c r="C770" s="16" t="n"/>
      <c r="D770" s="16" t="n"/>
      <c r="E770" s="17" t="n"/>
    </row>
    <row r="771">
      <c r="B771" s="15" t="n"/>
      <c r="C771" s="16" t="n"/>
      <c r="D771" s="16" t="n"/>
      <c r="E771" s="17" t="n"/>
    </row>
    <row r="772">
      <c r="B772" s="15" t="n"/>
      <c r="C772" s="16" t="n"/>
      <c r="D772" s="16" t="n"/>
      <c r="E772" s="17" t="n"/>
    </row>
    <row r="773">
      <c r="B773" s="15" t="n"/>
      <c r="C773" s="16" t="n"/>
      <c r="D773" s="16" t="n"/>
      <c r="E773" s="17" t="n"/>
    </row>
    <row r="774">
      <c r="B774" s="15" t="n"/>
      <c r="C774" s="16" t="n"/>
      <c r="D774" s="16" t="n"/>
      <c r="E774" s="17" t="n"/>
    </row>
    <row r="775">
      <c r="B775" s="15" t="n"/>
      <c r="C775" s="16" t="n"/>
      <c r="D775" s="16" t="n"/>
      <c r="E775" s="17" t="n"/>
    </row>
    <row r="776">
      <c r="B776" s="15" t="n"/>
      <c r="C776" s="16" t="n"/>
      <c r="D776" s="16" t="n"/>
      <c r="E776" s="17" t="n"/>
    </row>
    <row r="777">
      <c r="B777" s="15" t="n"/>
      <c r="C777" s="16" t="n"/>
      <c r="D777" s="16" t="n"/>
      <c r="E777" s="17" t="n"/>
    </row>
    <row r="778">
      <c r="B778" s="15" t="n"/>
      <c r="C778" s="16" t="n"/>
      <c r="D778" s="16" t="n"/>
      <c r="E778" s="17" t="n"/>
    </row>
    <row r="779">
      <c r="B779" s="15" t="n"/>
      <c r="C779" s="16" t="n"/>
      <c r="D779" s="16" t="n"/>
      <c r="E779" s="17" t="n"/>
    </row>
    <row r="780">
      <c r="B780" s="15" t="n"/>
      <c r="C780" s="16" t="n"/>
      <c r="D780" s="16" t="n"/>
      <c r="E780" s="17" t="n"/>
    </row>
    <row r="781">
      <c r="B781" s="15" t="n"/>
      <c r="C781" s="16" t="n"/>
      <c r="D781" s="16" t="n"/>
      <c r="E781" s="17" t="n"/>
    </row>
    <row r="782">
      <c r="B782" s="15" t="n"/>
      <c r="C782" s="16" t="n"/>
      <c r="D782" s="16" t="n"/>
      <c r="E782" s="17" t="n"/>
    </row>
    <row r="783">
      <c r="B783" s="15" t="n"/>
      <c r="C783" s="16" t="n"/>
      <c r="D783" s="16" t="n"/>
      <c r="E783" s="17" t="n"/>
    </row>
    <row r="784">
      <c r="B784" s="15" t="n"/>
      <c r="C784" s="16" t="n"/>
      <c r="D784" s="16" t="n"/>
      <c r="E784" s="17" t="n"/>
    </row>
    <row r="785">
      <c r="B785" s="15" t="n"/>
      <c r="C785" s="16" t="n"/>
      <c r="D785" s="16" t="n"/>
      <c r="E785" s="17" t="n"/>
    </row>
    <row r="786">
      <c r="B786" s="15" t="n"/>
      <c r="C786" s="16" t="n"/>
      <c r="D786" s="16" t="n"/>
      <c r="E786" s="17" t="n"/>
    </row>
    <row r="787">
      <c r="B787" s="15" t="n"/>
      <c r="C787" s="16" t="n"/>
      <c r="D787" s="16" t="n"/>
      <c r="E787" s="17" t="n"/>
    </row>
    <row r="788">
      <c r="B788" s="15" t="n"/>
      <c r="C788" s="16" t="n"/>
      <c r="D788" s="16" t="n"/>
      <c r="E788" s="17" t="n"/>
    </row>
    <row r="789">
      <c r="B789" s="15" t="n"/>
      <c r="C789" s="16" t="n"/>
      <c r="D789" s="16" t="n"/>
      <c r="E789" s="17" t="n"/>
    </row>
    <row r="790">
      <c r="B790" s="15" t="n"/>
      <c r="C790" s="16" t="n"/>
      <c r="D790" s="16" t="n"/>
      <c r="E790" s="17" t="n"/>
    </row>
    <row r="791">
      <c r="B791" s="15" t="n"/>
      <c r="C791" s="16" t="n"/>
      <c r="D791" s="16" t="n"/>
      <c r="E791" s="17" t="n"/>
    </row>
    <row r="792">
      <c r="B792" s="15" t="n"/>
      <c r="C792" s="16" t="n"/>
      <c r="D792" s="16" t="n"/>
      <c r="E792" s="17" t="n"/>
    </row>
    <row r="793">
      <c r="B793" s="15" t="n"/>
      <c r="C793" s="16" t="n"/>
      <c r="D793" s="16" t="n"/>
      <c r="E793" s="17" t="n"/>
    </row>
    <row r="794">
      <c r="B794" s="15" t="n"/>
      <c r="C794" s="16" t="n"/>
      <c r="D794" s="16" t="n"/>
      <c r="E794" s="17" t="n"/>
    </row>
    <row r="795">
      <c r="B795" s="15" t="n"/>
      <c r="C795" s="16" t="n"/>
      <c r="D795" s="16" t="n"/>
      <c r="E795" s="17" t="n"/>
    </row>
    <row r="796">
      <c r="B796" s="15" t="n"/>
      <c r="C796" s="16" t="n"/>
      <c r="D796" s="16" t="n"/>
      <c r="E796" s="17" t="n"/>
    </row>
    <row r="797">
      <c r="B797" s="15" t="n"/>
      <c r="C797" s="16" t="n"/>
      <c r="D797" s="16" t="n"/>
      <c r="E797" s="17" t="n"/>
    </row>
    <row r="798">
      <c r="B798" s="15" t="n"/>
      <c r="C798" s="16" t="n"/>
      <c r="D798" s="16" t="n"/>
      <c r="E798" s="17" t="n"/>
    </row>
    <row r="799">
      <c r="B799" s="15" t="n"/>
      <c r="C799" s="16" t="n"/>
      <c r="D799" s="16" t="n"/>
      <c r="E799" s="17" t="n"/>
    </row>
    <row r="800">
      <c r="B800" s="15" t="n"/>
      <c r="C800" s="16" t="n"/>
      <c r="D800" s="16" t="n"/>
      <c r="E800" s="17" t="n"/>
    </row>
    <row r="801">
      <c r="B801" s="15" t="n"/>
      <c r="C801" s="16" t="n"/>
      <c r="D801" s="16" t="n"/>
      <c r="E801" s="17" t="n"/>
    </row>
    <row r="802">
      <c r="B802" s="15" t="n"/>
      <c r="C802" s="16" t="n"/>
      <c r="D802" s="16" t="n"/>
      <c r="E802" s="17" t="n"/>
    </row>
    <row r="803">
      <c r="B803" s="15" t="n"/>
      <c r="C803" s="16" t="n"/>
      <c r="D803" s="16" t="n"/>
      <c r="E803" s="17" t="n"/>
    </row>
    <row r="804">
      <c r="B804" s="15" t="n"/>
      <c r="C804" s="16" t="n"/>
      <c r="D804" s="16" t="n"/>
      <c r="E804" s="17" t="n"/>
    </row>
    <row r="805">
      <c r="B805" s="15" t="n"/>
      <c r="C805" s="16" t="n"/>
      <c r="D805" s="16" t="n"/>
      <c r="E805" s="17" t="n"/>
    </row>
    <row r="806">
      <c r="B806" s="15" t="n"/>
      <c r="C806" s="16" t="n"/>
      <c r="D806" s="16" t="n"/>
      <c r="E806" s="17" t="n"/>
    </row>
    <row r="807">
      <c r="B807" s="15" t="n"/>
      <c r="C807" s="16" t="n"/>
      <c r="D807" s="16" t="n"/>
      <c r="E807" s="17" t="n"/>
    </row>
    <row r="808">
      <c r="B808" s="15" t="n"/>
      <c r="C808" s="16" t="n"/>
      <c r="D808" s="16" t="n"/>
      <c r="E808" s="17" t="n"/>
    </row>
    <row r="809">
      <c r="B809" s="15" t="n"/>
      <c r="C809" s="16" t="n"/>
      <c r="D809" s="16" t="n"/>
      <c r="E809" s="17" t="n"/>
    </row>
    <row r="810">
      <c r="B810" s="15" t="n"/>
      <c r="C810" s="16" t="n"/>
      <c r="D810" s="16" t="n"/>
      <c r="E810" s="17" t="n"/>
    </row>
    <row r="811">
      <c r="B811" s="15" t="n"/>
      <c r="C811" s="16" t="n"/>
      <c r="D811" s="16" t="n"/>
      <c r="E811" s="17" t="n"/>
    </row>
    <row r="812">
      <c r="B812" s="15" t="n"/>
      <c r="C812" s="16" t="n"/>
      <c r="D812" s="16" t="n"/>
      <c r="E812" s="17" t="n"/>
    </row>
    <row r="813">
      <c r="B813" s="15" t="n"/>
      <c r="C813" s="16" t="n"/>
      <c r="D813" s="16" t="n"/>
      <c r="E813" s="17" t="n"/>
    </row>
    <row r="814">
      <c r="B814" s="15" t="n"/>
      <c r="C814" s="16" t="n"/>
      <c r="D814" s="16" t="n"/>
      <c r="E814" s="17" t="n"/>
    </row>
    <row r="815">
      <c r="B815" s="15" t="n"/>
      <c r="C815" s="16" t="n"/>
      <c r="D815" s="16" t="n"/>
      <c r="E815" s="17" t="n"/>
    </row>
    <row r="816">
      <c r="B816" s="15" t="n"/>
      <c r="C816" s="16" t="n"/>
      <c r="D816" s="16" t="n"/>
      <c r="E816" s="17" t="n"/>
    </row>
    <row r="817">
      <c r="B817" s="15" t="n"/>
      <c r="C817" s="16" t="n"/>
      <c r="D817" s="16" t="n"/>
      <c r="E817" s="17" t="n"/>
    </row>
    <row r="818">
      <c r="B818" s="15" t="n"/>
      <c r="C818" s="16" t="n"/>
      <c r="D818" s="16" t="n"/>
      <c r="E818" s="17" t="n"/>
    </row>
    <row r="819">
      <c r="B819" s="15" t="n"/>
      <c r="C819" s="16" t="n"/>
      <c r="D819" s="16" t="n"/>
      <c r="E819" s="17" t="n"/>
    </row>
    <row r="820">
      <c r="B820" s="15" t="n"/>
      <c r="C820" s="16" t="n"/>
      <c r="D820" s="16" t="n"/>
      <c r="E820" s="17" t="n"/>
    </row>
    <row r="821">
      <c r="B821" s="15" t="n"/>
      <c r="C821" s="16" t="n"/>
      <c r="D821" s="16" t="n"/>
      <c r="E821" s="17" t="n"/>
    </row>
    <row r="822">
      <c r="B822" s="15" t="n"/>
      <c r="C822" s="16" t="n"/>
      <c r="D822" s="16" t="n"/>
      <c r="E822" s="17" t="n"/>
    </row>
    <row r="823">
      <c r="B823" s="15" t="n"/>
      <c r="C823" s="16" t="n"/>
      <c r="D823" s="16" t="n"/>
      <c r="E823" s="17" t="n"/>
    </row>
    <row r="824">
      <c r="B824" s="15" t="n"/>
      <c r="C824" s="16" t="n"/>
      <c r="D824" s="16" t="n"/>
      <c r="E824" s="17" t="n"/>
    </row>
    <row r="825">
      <c r="B825" s="15" t="n"/>
      <c r="C825" s="16" t="n"/>
      <c r="D825" s="16" t="n"/>
      <c r="E825" s="17" t="n"/>
    </row>
    <row r="826">
      <c r="B826" s="15" t="n"/>
      <c r="C826" s="16" t="n"/>
      <c r="D826" s="16" t="n"/>
      <c r="E826" s="17" t="n"/>
    </row>
    <row r="827">
      <c r="B827" s="15" t="n"/>
      <c r="C827" s="16" t="n"/>
      <c r="D827" s="16" t="n"/>
      <c r="E827" s="17" t="n"/>
    </row>
    <row r="828">
      <c r="B828" s="15" t="n"/>
      <c r="C828" s="16" t="n"/>
      <c r="D828" s="16" t="n"/>
      <c r="E828" s="17" t="n"/>
    </row>
    <row r="829">
      <c r="B829" s="15" t="n"/>
      <c r="C829" s="16" t="n"/>
      <c r="D829" s="16" t="n"/>
      <c r="E829" s="17" t="n"/>
    </row>
    <row r="830">
      <c r="B830" s="15" t="n"/>
      <c r="C830" s="16" t="n"/>
      <c r="D830" s="16" t="n"/>
      <c r="E830" s="17" t="n"/>
    </row>
    <row r="831">
      <c r="B831" s="15" t="n"/>
      <c r="C831" s="16" t="n"/>
      <c r="D831" s="16" t="n"/>
      <c r="E831" s="17" t="n"/>
    </row>
    <row r="832">
      <c r="B832" s="15" t="n"/>
      <c r="C832" s="16" t="n"/>
      <c r="D832" s="16" t="n"/>
      <c r="E832" s="17" t="n"/>
    </row>
    <row r="833">
      <c r="B833" s="15" t="n"/>
      <c r="C833" s="16" t="n"/>
      <c r="D833" s="16" t="n"/>
      <c r="E833" s="17" t="n"/>
    </row>
    <row r="834">
      <c r="B834" s="15" t="n"/>
      <c r="C834" s="16" t="n"/>
      <c r="D834" s="16" t="n"/>
      <c r="E834" s="17" t="n"/>
    </row>
    <row r="835">
      <c r="B835" s="15" t="n"/>
      <c r="C835" s="16" t="n"/>
      <c r="D835" s="16" t="n"/>
      <c r="E835" s="17" t="n"/>
    </row>
    <row r="836">
      <c r="B836" s="15" t="n"/>
      <c r="C836" s="16" t="n"/>
      <c r="D836" s="16" t="n"/>
      <c r="E836" s="17" t="n"/>
    </row>
    <row r="837">
      <c r="B837" s="15" t="n"/>
      <c r="C837" s="16" t="n"/>
      <c r="D837" s="16" t="n"/>
      <c r="E837" s="17" t="n"/>
    </row>
    <row r="838">
      <c r="B838" s="15" t="n"/>
      <c r="C838" s="16" t="n"/>
      <c r="D838" s="16" t="n"/>
      <c r="E838" s="17" t="n"/>
    </row>
    <row r="839">
      <c r="B839" s="15" t="n"/>
      <c r="C839" s="16" t="n"/>
      <c r="D839" s="16" t="n"/>
      <c r="E839" s="17" t="n"/>
    </row>
    <row r="840">
      <c r="B840" s="15" t="n"/>
      <c r="C840" s="16" t="n"/>
      <c r="D840" s="16" t="n"/>
      <c r="E840" s="17" t="n"/>
    </row>
    <row r="841">
      <c r="B841" s="15" t="n"/>
      <c r="C841" s="16" t="n"/>
      <c r="D841" s="16" t="n"/>
      <c r="E841" s="17" t="n"/>
    </row>
    <row r="842">
      <c r="B842" s="15" t="n"/>
      <c r="C842" s="16" t="n"/>
      <c r="D842" s="16" t="n"/>
      <c r="E842" s="17" t="n"/>
    </row>
    <row r="843">
      <c r="B843" s="15" t="n"/>
      <c r="C843" s="16" t="n"/>
      <c r="D843" s="16" t="n"/>
      <c r="E843" s="17" t="n"/>
    </row>
    <row r="844">
      <c r="B844" s="15" t="n"/>
      <c r="C844" s="16" t="n"/>
      <c r="D844" s="16" t="n"/>
      <c r="E844" s="17" t="n"/>
    </row>
    <row r="845">
      <c r="B845" s="15" t="n"/>
      <c r="C845" s="16" t="n"/>
      <c r="D845" s="16" t="n"/>
      <c r="E845" s="17" t="n"/>
    </row>
    <row r="846">
      <c r="B846" s="15" t="n"/>
      <c r="C846" s="16" t="n"/>
      <c r="D846" s="16" t="n"/>
      <c r="E846" s="17" t="n"/>
    </row>
    <row r="847">
      <c r="B847" s="15" t="n"/>
      <c r="C847" s="16" t="n"/>
      <c r="D847" s="16" t="n"/>
      <c r="E847" s="17" t="n"/>
    </row>
    <row r="848">
      <c r="B848" s="15" t="n"/>
      <c r="C848" s="16" t="n"/>
      <c r="D848" s="16" t="n"/>
      <c r="E848" s="17" t="n"/>
    </row>
    <row r="849">
      <c r="B849" s="15" t="n"/>
      <c r="C849" s="16" t="n"/>
      <c r="D849" s="16" t="n"/>
      <c r="E849" s="17" t="n"/>
    </row>
    <row r="850">
      <c r="B850" s="15" t="n"/>
      <c r="C850" s="16" t="n"/>
      <c r="D850" s="16" t="n"/>
      <c r="E850" s="17" t="n"/>
    </row>
    <row r="851">
      <c r="B851" s="15" t="n"/>
      <c r="C851" s="16" t="n"/>
      <c r="D851" s="16" t="n"/>
      <c r="E851" s="17" t="n"/>
    </row>
    <row r="852">
      <c r="B852" s="15" t="n"/>
      <c r="C852" s="16" t="n"/>
      <c r="D852" s="16" t="n"/>
      <c r="E852" s="17" t="n"/>
    </row>
    <row r="853">
      <c r="B853" s="15" t="n"/>
      <c r="C853" s="16" t="n"/>
      <c r="D853" s="16" t="n"/>
      <c r="E853" s="17" t="n"/>
    </row>
    <row r="854">
      <c r="B854" s="15" t="n"/>
      <c r="C854" s="16" t="n"/>
      <c r="D854" s="16" t="n"/>
      <c r="E854" s="17" t="n"/>
    </row>
    <row r="855">
      <c r="B855" s="15" t="n"/>
      <c r="C855" s="16" t="n"/>
      <c r="D855" s="16" t="n"/>
      <c r="E855" s="17" t="n"/>
    </row>
    <row r="856">
      <c r="B856" s="15" t="n"/>
      <c r="C856" s="16" t="n"/>
      <c r="D856" s="16" t="n"/>
      <c r="E856" s="17" t="n"/>
    </row>
    <row r="857">
      <c r="B857" s="15" t="n"/>
      <c r="C857" s="16" t="n"/>
      <c r="D857" s="16" t="n"/>
      <c r="E857" s="17" t="n"/>
    </row>
    <row r="858">
      <c r="B858" s="15" t="n"/>
      <c r="C858" s="16" t="n"/>
      <c r="D858" s="16" t="n"/>
      <c r="E858" s="17" t="n"/>
    </row>
    <row r="859">
      <c r="B859" s="15" t="n"/>
      <c r="C859" s="16" t="n"/>
      <c r="D859" s="16" t="n"/>
      <c r="E859" s="17" t="n"/>
    </row>
    <row r="860">
      <c r="B860" s="15" t="n"/>
      <c r="C860" s="16" t="n"/>
      <c r="D860" s="16" t="n"/>
      <c r="E860" s="17" t="n"/>
    </row>
    <row r="861">
      <c r="B861" s="15" t="n"/>
      <c r="C861" s="16" t="n"/>
      <c r="D861" s="16" t="n"/>
      <c r="E861" s="17" t="n"/>
    </row>
    <row r="862">
      <c r="B862" s="15" t="n"/>
      <c r="C862" s="16" t="n"/>
      <c r="D862" s="16" t="n"/>
      <c r="E862" s="17" t="n"/>
    </row>
    <row r="863">
      <c r="B863" s="15" t="n"/>
      <c r="C863" s="16" t="n"/>
      <c r="D863" s="16" t="n"/>
      <c r="E863" s="17" t="n"/>
    </row>
    <row r="864">
      <c r="B864" s="15" t="n"/>
      <c r="C864" s="16" t="n"/>
      <c r="D864" s="16" t="n"/>
      <c r="E864" s="17" t="n"/>
    </row>
    <row r="865">
      <c r="B865" s="15" t="n"/>
      <c r="C865" s="16" t="n"/>
      <c r="D865" s="16" t="n"/>
      <c r="E865" s="17" t="n"/>
    </row>
    <row r="866">
      <c r="B866" s="15" t="n"/>
      <c r="C866" s="16" t="n"/>
      <c r="D866" s="16" t="n"/>
      <c r="E866" s="17" t="n"/>
    </row>
    <row r="867">
      <c r="B867" s="15" t="n"/>
      <c r="C867" s="16" t="n"/>
      <c r="D867" s="16" t="n"/>
      <c r="E867" s="17" t="n"/>
    </row>
    <row r="868">
      <c r="B868" s="15" t="n"/>
      <c r="C868" s="16" t="n"/>
      <c r="D868" s="16" t="n"/>
      <c r="E868" s="17" t="n"/>
    </row>
    <row r="869">
      <c r="B869" s="15" t="n"/>
      <c r="C869" s="16" t="n"/>
      <c r="D869" s="16" t="n"/>
      <c r="E869" s="17" t="n"/>
    </row>
    <row r="870">
      <c r="B870" s="15" t="n"/>
      <c r="C870" s="16" t="n"/>
      <c r="D870" s="16" t="n"/>
      <c r="E870" s="17" t="n"/>
    </row>
    <row r="871">
      <c r="B871" s="15" t="n"/>
      <c r="C871" s="16" t="n"/>
      <c r="D871" s="16" t="n"/>
      <c r="E871" s="17" t="n"/>
    </row>
    <row r="872">
      <c r="B872" s="15" t="n"/>
      <c r="C872" s="16" t="n"/>
      <c r="D872" s="16" t="n"/>
      <c r="E872" s="17" t="n"/>
    </row>
    <row r="873">
      <c r="B873" s="15" t="n"/>
      <c r="C873" s="16" t="n"/>
      <c r="D873" s="16" t="n"/>
      <c r="E873" s="17" t="n"/>
    </row>
    <row r="874">
      <c r="B874" s="15" t="n"/>
      <c r="C874" s="16" t="n"/>
      <c r="D874" s="16" t="n"/>
      <c r="E874" s="17" t="n"/>
    </row>
    <row r="875">
      <c r="B875" s="15" t="n"/>
      <c r="C875" s="16" t="n"/>
      <c r="D875" s="16" t="n"/>
      <c r="E875" s="17" t="n"/>
    </row>
    <row r="876">
      <c r="B876" s="15" t="n"/>
      <c r="C876" s="16" t="n"/>
      <c r="D876" s="16" t="n"/>
      <c r="E876" s="17" t="n"/>
    </row>
    <row r="877">
      <c r="B877" s="15" t="n"/>
      <c r="C877" s="16" t="n"/>
      <c r="D877" s="16" t="n"/>
      <c r="E877" s="17" t="n"/>
    </row>
    <row r="878">
      <c r="B878" s="15" t="n"/>
      <c r="C878" s="16" t="n"/>
      <c r="D878" s="16" t="n"/>
      <c r="E878" s="17" t="n"/>
    </row>
    <row r="879">
      <c r="B879" s="15" t="n"/>
      <c r="C879" s="16" t="n"/>
      <c r="D879" s="16" t="n"/>
      <c r="E879" s="17" t="n"/>
    </row>
    <row r="880">
      <c r="B880" s="15" t="n"/>
      <c r="C880" s="16" t="n"/>
      <c r="D880" s="16" t="n"/>
      <c r="E880" s="17" t="n"/>
    </row>
    <row r="881">
      <c r="B881" s="15" t="n"/>
      <c r="C881" s="16" t="n"/>
      <c r="D881" s="16" t="n"/>
      <c r="E881" s="17" t="n"/>
    </row>
    <row r="882">
      <c r="B882" s="15" t="n"/>
      <c r="C882" s="16" t="n"/>
      <c r="D882" s="16" t="n"/>
      <c r="E882" s="17" t="n"/>
    </row>
    <row r="883">
      <c r="B883" s="15" t="n"/>
      <c r="C883" s="16" t="n"/>
      <c r="D883" s="16" t="n"/>
      <c r="E883" s="17" t="n"/>
    </row>
    <row r="884">
      <c r="B884" s="15" t="n"/>
      <c r="C884" s="16" t="n"/>
      <c r="D884" s="16" t="n"/>
      <c r="E884" s="17" t="n"/>
    </row>
    <row r="885">
      <c r="B885" s="15" t="n"/>
      <c r="C885" s="16" t="n"/>
      <c r="D885" s="16" t="n"/>
      <c r="E885" s="17" t="n"/>
    </row>
    <row r="886">
      <c r="B886" s="15" t="n"/>
      <c r="C886" s="16" t="n"/>
      <c r="D886" s="16" t="n"/>
      <c r="E886" s="17" t="n"/>
    </row>
    <row r="887">
      <c r="B887" s="15" t="n"/>
      <c r="C887" s="16" t="n"/>
      <c r="D887" s="16" t="n"/>
      <c r="E887" s="17" t="n"/>
    </row>
    <row r="888">
      <c r="B888" s="15" t="n"/>
      <c r="C888" s="16" t="n"/>
      <c r="D888" s="16" t="n"/>
      <c r="E888" s="17" t="n"/>
    </row>
    <row r="889">
      <c r="B889" s="15" t="n"/>
      <c r="C889" s="16" t="n"/>
      <c r="D889" s="16" t="n"/>
      <c r="E889" s="17" t="n"/>
    </row>
    <row r="890">
      <c r="B890" s="15" t="n"/>
      <c r="C890" s="16" t="n"/>
      <c r="D890" s="16" t="n"/>
      <c r="E890" s="17" t="n"/>
    </row>
    <row r="891">
      <c r="B891" s="15" t="n"/>
      <c r="C891" s="16" t="n"/>
      <c r="D891" s="16" t="n"/>
      <c r="E891" s="17" t="n"/>
    </row>
    <row r="892">
      <c r="B892" s="15" t="n"/>
      <c r="C892" s="16" t="n"/>
      <c r="D892" s="16" t="n"/>
      <c r="E892" s="17" t="n"/>
    </row>
    <row r="893">
      <c r="B893" s="15" t="n"/>
      <c r="C893" s="16" t="n"/>
      <c r="D893" s="16" t="n"/>
      <c r="E893" s="17" t="n"/>
    </row>
    <row r="894">
      <c r="B894" s="15" t="n"/>
      <c r="C894" s="16" t="n"/>
      <c r="D894" s="16" t="n"/>
      <c r="E894" s="17" t="n"/>
    </row>
    <row r="895">
      <c r="B895" s="15" t="n"/>
      <c r="C895" s="16" t="n"/>
      <c r="D895" s="16" t="n"/>
      <c r="E895" s="17" t="n"/>
    </row>
    <row r="896">
      <c r="B896" s="15" t="n"/>
      <c r="C896" s="16" t="n"/>
      <c r="D896" s="16" t="n"/>
      <c r="E896" s="17" t="n"/>
    </row>
    <row r="897">
      <c r="B897" s="15" t="n"/>
      <c r="C897" s="16" t="n"/>
      <c r="D897" s="16" t="n"/>
      <c r="E897" s="17" t="n"/>
    </row>
    <row r="898">
      <c r="B898" s="15" t="n"/>
      <c r="C898" s="16" t="n"/>
      <c r="D898" s="16" t="n"/>
      <c r="E898" s="17" t="n"/>
    </row>
    <row r="899">
      <c r="B899" s="15" t="n"/>
      <c r="C899" s="16" t="n"/>
      <c r="D899" s="16" t="n"/>
      <c r="E899" s="17" t="n"/>
    </row>
    <row r="900">
      <c r="B900" s="15" t="n"/>
      <c r="C900" s="16" t="n"/>
      <c r="D900" s="16" t="n"/>
      <c r="E900" s="17" t="n"/>
    </row>
    <row r="901">
      <c r="B901" s="15" t="n"/>
      <c r="C901" s="16" t="n"/>
      <c r="D901" s="16" t="n"/>
      <c r="E901" s="17" t="n"/>
    </row>
    <row r="902">
      <c r="B902" s="15" t="n"/>
      <c r="C902" s="16" t="n"/>
      <c r="D902" s="16" t="n"/>
      <c r="E902" s="17" t="n"/>
    </row>
    <row r="903">
      <c r="B903" s="15" t="n"/>
      <c r="C903" s="16" t="n"/>
      <c r="D903" s="16" t="n"/>
      <c r="E903" s="17" t="n"/>
    </row>
    <row r="904">
      <c r="B904" s="15" t="n"/>
      <c r="C904" s="16" t="n"/>
      <c r="D904" s="16" t="n"/>
      <c r="E904" s="17" t="n"/>
    </row>
    <row r="905">
      <c r="B905" s="15" t="n"/>
      <c r="C905" s="16" t="n"/>
      <c r="D905" s="16" t="n"/>
      <c r="E905" s="17" t="n"/>
    </row>
    <row r="906">
      <c r="B906" s="15" t="n"/>
      <c r="C906" s="16" t="n"/>
      <c r="D906" s="16" t="n"/>
      <c r="E906" s="17" t="n"/>
    </row>
    <row r="907">
      <c r="B907" s="15" t="n"/>
      <c r="C907" s="16" t="n"/>
      <c r="D907" s="16" t="n"/>
      <c r="E907" s="17" t="n"/>
    </row>
    <row r="908">
      <c r="B908" s="15" t="n"/>
      <c r="C908" s="16" t="n"/>
      <c r="D908" s="16" t="n"/>
      <c r="E908" s="17" t="n"/>
    </row>
    <row r="909">
      <c r="B909" s="15" t="n"/>
      <c r="C909" s="16" t="n"/>
      <c r="D909" s="16" t="n"/>
      <c r="E909" s="17" t="n"/>
    </row>
    <row r="910">
      <c r="B910" s="15" t="n"/>
      <c r="C910" s="16" t="n"/>
      <c r="D910" s="16" t="n"/>
      <c r="E910" s="17" t="n"/>
    </row>
    <row r="911">
      <c r="B911" s="15" t="n"/>
      <c r="C911" s="16" t="n"/>
      <c r="D911" s="16" t="n"/>
      <c r="E911" s="17" t="n"/>
    </row>
    <row r="912">
      <c r="B912" s="15" t="n"/>
      <c r="C912" s="16" t="n"/>
      <c r="D912" s="16" t="n"/>
      <c r="E912" s="17" t="n"/>
    </row>
    <row r="913">
      <c r="B913" s="15" t="n"/>
      <c r="C913" s="16" t="n"/>
      <c r="D913" s="16" t="n"/>
      <c r="E913" s="17" t="n"/>
    </row>
    <row r="914">
      <c r="B914" s="15" t="n"/>
      <c r="C914" s="16" t="n"/>
      <c r="D914" s="16" t="n"/>
      <c r="E914" s="17" t="n"/>
    </row>
    <row r="915">
      <c r="B915" s="15" t="n"/>
      <c r="C915" s="16" t="n"/>
      <c r="D915" s="16" t="n"/>
      <c r="E915" s="17" t="n"/>
    </row>
    <row r="916">
      <c r="B916" s="15" t="n"/>
      <c r="C916" s="16" t="n"/>
      <c r="D916" s="16" t="n"/>
      <c r="E916" s="17" t="n"/>
    </row>
    <row r="917">
      <c r="B917" s="15" t="n"/>
      <c r="C917" s="16" t="n"/>
      <c r="D917" s="16" t="n"/>
      <c r="E917" s="17" t="n"/>
    </row>
    <row r="918">
      <c r="B918" s="15" t="n"/>
      <c r="C918" s="16" t="n"/>
      <c r="D918" s="16" t="n"/>
      <c r="E918" s="17" t="n"/>
    </row>
    <row r="919">
      <c r="B919" s="15" t="n"/>
      <c r="C919" s="16" t="n"/>
      <c r="D919" s="16" t="n"/>
      <c r="E919" s="17" t="n"/>
    </row>
    <row r="920">
      <c r="B920" s="15" t="n"/>
      <c r="C920" s="16" t="n"/>
      <c r="D920" s="16" t="n"/>
      <c r="E920" s="17" t="n"/>
    </row>
    <row r="921">
      <c r="B921" s="15" t="n"/>
      <c r="C921" s="16" t="n"/>
      <c r="D921" s="16" t="n"/>
      <c r="E921" s="17" t="n"/>
    </row>
    <row r="922">
      <c r="B922" s="15" t="n"/>
      <c r="C922" s="16" t="n"/>
      <c r="D922" s="16" t="n"/>
      <c r="E922" s="17" t="n"/>
    </row>
    <row r="923">
      <c r="B923" s="15" t="n"/>
      <c r="C923" s="16" t="n"/>
      <c r="D923" s="16" t="n"/>
      <c r="E923" s="17" t="n"/>
    </row>
    <row r="924">
      <c r="B924" s="15" t="n"/>
      <c r="C924" s="16" t="n"/>
      <c r="D924" s="16" t="n"/>
      <c r="E924" s="17" t="n"/>
    </row>
    <row r="925">
      <c r="B925" s="15" t="n"/>
      <c r="C925" s="16" t="n"/>
      <c r="D925" s="16" t="n"/>
      <c r="E925" s="17" t="n"/>
    </row>
    <row r="926">
      <c r="B926" s="15" t="n"/>
      <c r="C926" s="16" t="n"/>
      <c r="D926" s="16" t="n"/>
      <c r="E926" s="17" t="n"/>
    </row>
    <row r="927">
      <c r="B927" s="15" t="n"/>
      <c r="C927" s="16" t="n"/>
      <c r="D927" s="16" t="n"/>
      <c r="E927" s="17" t="n"/>
    </row>
    <row r="928">
      <c r="B928" s="15" t="n"/>
      <c r="C928" s="16" t="n"/>
      <c r="D928" s="16" t="n"/>
      <c r="E928" s="17" t="n"/>
    </row>
    <row r="929">
      <c r="B929" s="15" t="n"/>
      <c r="C929" s="16" t="n"/>
      <c r="D929" s="16" t="n"/>
      <c r="E929" s="17" t="n"/>
    </row>
    <row r="930">
      <c r="B930" s="15" t="n"/>
      <c r="C930" s="16" t="n"/>
      <c r="D930" s="16" t="n"/>
      <c r="E930" s="17" t="n"/>
    </row>
    <row r="931">
      <c r="B931" s="15" t="n"/>
      <c r="C931" s="16" t="n"/>
      <c r="D931" s="16" t="n"/>
      <c r="E931" s="17" t="n"/>
    </row>
    <row r="932">
      <c r="B932" s="15" t="n"/>
      <c r="C932" s="16" t="n"/>
      <c r="D932" s="16" t="n"/>
      <c r="E932" s="17" t="n"/>
    </row>
    <row r="933">
      <c r="B933" s="15" t="n"/>
      <c r="C933" s="16" t="n"/>
      <c r="D933" s="16" t="n"/>
      <c r="E933" s="17" t="n"/>
    </row>
    <row r="934">
      <c r="B934" s="15" t="n"/>
      <c r="C934" s="16" t="n"/>
      <c r="D934" s="16" t="n"/>
      <c r="E934" s="17" t="n"/>
    </row>
    <row r="935">
      <c r="B935" s="15" t="n"/>
      <c r="C935" s="16" t="n"/>
      <c r="D935" s="16" t="n"/>
      <c r="E935" s="17" t="n"/>
    </row>
    <row r="936">
      <c r="B936" s="15" t="n"/>
      <c r="C936" s="16" t="n"/>
      <c r="D936" s="16" t="n"/>
      <c r="E936" s="17" t="n"/>
    </row>
    <row r="937">
      <c r="B937" s="15" t="n"/>
      <c r="C937" s="16" t="n"/>
      <c r="D937" s="16" t="n"/>
      <c r="E937" s="17" t="n"/>
    </row>
    <row r="938">
      <c r="B938" s="15" t="n"/>
      <c r="C938" s="16" t="n"/>
      <c r="D938" s="16" t="n"/>
      <c r="E938" s="17" t="n"/>
    </row>
    <row r="939">
      <c r="B939" s="15" t="n"/>
      <c r="C939" s="16" t="n"/>
      <c r="D939" s="16" t="n"/>
      <c r="E939" s="17" t="n"/>
    </row>
    <row r="940">
      <c r="B940" s="15" t="n"/>
      <c r="C940" s="16" t="n"/>
      <c r="D940" s="16" t="n"/>
      <c r="E940" s="17" t="n"/>
    </row>
    <row r="941">
      <c r="B941" s="15" t="n"/>
      <c r="C941" s="16" t="n"/>
      <c r="D941" s="16" t="n"/>
      <c r="E941" s="17" t="n"/>
    </row>
    <row r="942">
      <c r="B942" s="15" t="n"/>
      <c r="C942" s="16" t="n"/>
      <c r="D942" s="16" t="n"/>
      <c r="E942" s="17" t="n"/>
    </row>
    <row r="943">
      <c r="B943" s="15" t="n"/>
      <c r="C943" s="16" t="n"/>
      <c r="D943" s="16" t="n"/>
      <c r="E943" s="17" t="n"/>
    </row>
    <row r="944">
      <c r="B944" s="15" t="n"/>
      <c r="C944" s="16" t="n"/>
      <c r="D944" s="16" t="n"/>
      <c r="E944" s="17" t="n"/>
    </row>
    <row r="945">
      <c r="B945" s="15" t="n"/>
      <c r="C945" s="16" t="n"/>
      <c r="D945" s="16" t="n"/>
      <c r="E945" s="17" t="n"/>
    </row>
    <row r="946">
      <c r="B946" s="15" t="n"/>
      <c r="C946" s="16" t="n"/>
      <c r="D946" s="16" t="n"/>
      <c r="E946" s="17" t="n"/>
    </row>
    <row r="947">
      <c r="B947" s="15" t="n"/>
      <c r="C947" s="16" t="n"/>
      <c r="D947" s="16" t="n"/>
      <c r="E947" s="17" t="n"/>
    </row>
    <row r="948">
      <c r="B948" s="15" t="n"/>
      <c r="C948" s="16" t="n"/>
      <c r="D948" s="16" t="n"/>
      <c r="E948" s="17" t="n"/>
    </row>
    <row r="949">
      <c r="B949" s="15" t="n"/>
      <c r="C949" s="16" t="n"/>
      <c r="D949" s="16" t="n"/>
      <c r="E949" s="17" t="n"/>
    </row>
    <row r="950">
      <c r="B950" s="15" t="n"/>
      <c r="C950" s="16" t="n"/>
      <c r="D950" s="16" t="n"/>
      <c r="E950" s="17" t="n"/>
    </row>
    <row r="951">
      <c r="B951" s="15" t="n"/>
      <c r="C951" s="16" t="n"/>
      <c r="D951" s="16" t="n"/>
      <c r="E951" s="17" t="n"/>
    </row>
    <row r="952">
      <c r="B952" s="15" t="n"/>
      <c r="C952" s="16" t="n"/>
      <c r="D952" s="16" t="n"/>
      <c r="E952" s="17" t="n"/>
    </row>
    <row r="953">
      <c r="B953" s="15" t="n"/>
      <c r="C953" s="16" t="n"/>
      <c r="D953" s="16" t="n"/>
      <c r="E953" s="17" t="n"/>
    </row>
    <row r="954">
      <c r="B954" s="15" t="n"/>
      <c r="C954" s="16" t="n"/>
      <c r="D954" s="16" t="n"/>
      <c r="E954" s="17" t="n"/>
    </row>
    <row r="955">
      <c r="B955" s="15" t="n"/>
      <c r="C955" s="16" t="n"/>
      <c r="D955" s="16" t="n"/>
      <c r="E955" s="17" t="n"/>
    </row>
    <row r="956">
      <c r="B956" s="15" t="n"/>
      <c r="C956" s="16" t="n"/>
      <c r="D956" s="16" t="n"/>
      <c r="E956" s="17" t="n"/>
    </row>
    <row r="957">
      <c r="B957" s="15" t="n"/>
      <c r="C957" s="16" t="n"/>
      <c r="D957" s="16" t="n"/>
      <c r="E957" s="17" t="n"/>
    </row>
    <row r="958">
      <c r="B958" s="15" t="n"/>
      <c r="C958" s="16" t="n"/>
      <c r="D958" s="16" t="n"/>
      <c r="E958" s="17" t="n"/>
    </row>
    <row r="959">
      <c r="B959" s="15" t="n"/>
      <c r="C959" s="16" t="n"/>
      <c r="D959" s="16" t="n"/>
      <c r="E959" s="17" t="n"/>
    </row>
    <row r="960">
      <c r="B960" s="15" t="n"/>
      <c r="C960" s="16" t="n"/>
      <c r="D960" s="16" t="n"/>
      <c r="E960" s="17" t="n"/>
    </row>
    <row r="961">
      <c r="B961" s="15" t="n"/>
      <c r="C961" s="16" t="n"/>
      <c r="D961" s="16" t="n"/>
      <c r="E961" s="17" t="n"/>
    </row>
    <row r="962">
      <c r="B962" s="15" t="n"/>
      <c r="C962" s="16" t="n"/>
      <c r="D962" s="16" t="n"/>
      <c r="E962" s="17" t="n"/>
    </row>
    <row r="963">
      <c r="B963" s="15" t="n"/>
      <c r="C963" s="16" t="n"/>
      <c r="D963" s="16" t="n"/>
      <c r="E963" s="17" t="n"/>
    </row>
    <row r="964">
      <c r="B964" s="15" t="n"/>
      <c r="C964" s="16" t="n"/>
      <c r="D964" s="16" t="n"/>
      <c r="E964" s="17" t="n"/>
    </row>
    <row r="965">
      <c r="B965" s="15" t="n"/>
      <c r="C965" s="16" t="n"/>
      <c r="D965" s="16" t="n"/>
      <c r="E965" s="17" t="n"/>
    </row>
    <row r="966">
      <c r="B966" s="15" t="n"/>
      <c r="C966" s="16" t="n"/>
      <c r="D966" s="16" t="n"/>
      <c r="E966" s="17" t="n"/>
    </row>
    <row r="967">
      <c r="B967" s="15" t="n"/>
      <c r="C967" s="16" t="n"/>
      <c r="D967" s="16" t="n"/>
      <c r="E967" s="17" t="n"/>
    </row>
    <row r="968">
      <c r="B968" s="15" t="n"/>
      <c r="C968" s="16" t="n"/>
      <c r="D968" s="16" t="n"/>
      <c r="E968" s="17" t="n"/>
    </row>
    <row r="969">
      <c r="B969" s="15" t="n"/>
      <c r="C969" s="16" t="n"/>
      <c r="D969" s="16" t="n"/>
      <c r="E969" s="17" t="n"/>
    </row>
    <row r="970">
      <c r="B970" s="15" t="n"/>
      <c r="C970" s="16" t="n"/>
      <c r="D970" s="16" t="n"/>
      <c r="E970" s="17" t="n"/>
    </row>
    <row r="971">
      <c r="B971" s="15" t="n"/>
      <c r="C971" s="16" t="n"/>
      <c r="D971" s="16" t="n"/>
      <c r="E971" s="17" t="n"/>
    </row>
    <row r="972">
      <c r="B972" s="15" t="n"/>
      <c r="C972" s="16" t="n"/>
      <c r="D972" s="16" t="n"/>
      <c r="E972" s="17" t="n"/>
    </row>
    <row r="973">
      <c r="B973" s="15" t="n"/>
      <c r="C973" s="16" t="n"/>
      <c r="D973" s="16" t="n"/>
      <c r="E973" s="17" t="n"/>
    </row>
    <row r="974">
      <c r="B974" s="15" t="n"/>
      <c r="C974" s="16" t="n"/>
      <c r="D974" s="16" t="n"/>
      <c r="E974" s="17" t="n"/>
    </row>
    <row r="975">
      <c r="B975" s="15" t="n"/>
      <c r="C975" s="16" t="n"/>
      <c r="D975" s="16" t="n"/>
      <c r="E975" s="17" t="n"/>
    </row>
    <row r="976">
      <c r="B976" s="15" t="n"/>
      <c r="C976" s="16" t="n"/>
      <c r="D976" s="16" t="n"/>
      <c r="E976" s="17" t="n"/>
    </row>
    <row r="977">
      <c r="B977" s="15" t="n"/>
      <c r="C977" s="16" t="n"/>
      <c r="D977" s="16" t="n"/>
      <c r="E977" s="17" t="n"/>
    </row>
    <row r="978">
      <c r="B978" s="15" t="n"/>
      <c r="C978" s="16" t="n"/>
      <c r="D978" s="16" t="n"/>
      <c r="E978" s="17" t="n"/>
    </row>
    <row r="979">
      <c r="B979" s="15" t="n"/>
      <c r="C979" s="16" t="n"/>
      <c r="D979" s="16" t="n"/>
      <c r="E979" s="17" t="n"/>
    </row>
    <row r="980">
      <c r="B980" s="15" t="n"/>
      <c r="C980" s="16" t="n"/>
      <c r="D980" s="16" t="n"/>
      <c r="E980" s="17" t="n"/>
    </row>
    <row r="981">
      <c r="B981" s="15" t="n"/>
      <c r="C981" s="16" t="n"/>
      <c r="D981" s="16" t="n"/>
      <c r="E981" s="17" t="n"/>
    </row>
    <row r="982">
      <c r="B982" s="15" t="n"/>
      <c r="C982" s="16" t="n"/>
      <c r="D982" s="16" t="n"/>
      <c r="E982" s="17" t="n"/>
    </row>
    <row r="983">
      <c r="B983" s="15" t="n"/>
      <c r="C983" s="16" t="n"/>
      <c r="D983" s="16" t="n"/>
      <c r="E983" s="17" t="n"/>
    </row>
    <row r="984">
      <c r="B984" s="15" t="n"/>
      <c r="C984" s="16" t="n"/>
      <c r="D984" s="16" t="n"/>
      <c r="E984" s="17" t="n"/>
    </row>
    <row r="985">
      <c r="B985" s="15" t="n"/>
      <c r="C985" s="16" t="n"/>
      <c r="D985" s="16" t="n"/>
      <c r="E985" s="17" t="n"/>
    </row>
    <row r="986">
      <c r="B986" s="15" t="n"/>
      <c r="C986" s="16" t="n"/>
      <c r="D986" s="16" t="n"/>
      <c r="E986" s="17" t="n"/>
    </row>
    <row r="987">
      <c r="B987" s="15" t="n"/>
      <c r="C987" s="16" t="n"/>
      <c r="D987" s="16" t="n"/>
      <c r="E987" s="17" t="n"/>
    </row>
    <row r="988">
      <c r="B988" s="15" t="n"/>
      <c r="C988" s="16" t="n"/>
      <c r="D988" s="16" t="n"/>
      <c r="E988" s="17" t="n"/>
    </row>
    <row r="989">
      <c r="B989" s="15" t="n"/>
      <c r="C989" s="16" t="n"/>
      <c r="D989" s="16" t="n"/>
      <c r="E989" s="17" t="n"/>
    </row>
    <row r="990">
      <c r="B990" s="15" t="n"/>
      <c r="C990" s="16" t="n"/>
      <c r="D990" s="16" t="n"/>
      <c r="E990" s="17" t="n"/>
    </row>
    <row r="991">
      <c r="B991" s="15" t="n"/>
      <c r="C991" s="16" t="n"/>
      <c r="D991" s="16" t="n"/>
      <c r="E991" s="17" t="n"/>
    </row>
    <row r="992">
      <c r="B992" s="15" t="n"/>
      <c r="C992" s="16" t="n"/>
      <c r="D992" s="16" t="n"/>
      <c r="E992" s="17" t="n"/>
    </row>
    <row r="993">
      <c r="B993" s="15" t="n"/>
      <c r="C993" s="16" t="n"/>
      <c r="D993" s="16" t="n"/>
      <c r="E993" s="17" t="n"/>
    </row>
    <row r="994">
      <c r="B994" s="15" t="n"/>
      <c r="C994" s="16" t="n"/>
      <c r="D994" s="16" t="n"/>
      <c r="E994" s="17" t="n"/>
    </row>
    <row r="995">
      <c r="B995" s="15" t="n"/>
      <c r="C995" s="16" t="n"/>
      <c r="D995" s="16" t="n"/>
      <c r="E995" s="17" t="n"/>
    </row>
    <row r="996">
      <c r="B996" s="15" t="n"/>
      <c r="C996" s="16" t="n"/>
      <c r="D996" s="16" t="n"/>
      <c r="E996" s="17" t="n"/>
    </row>
    <row r="997">
      <c r="B997" s="15" t="n"/>
      <c r="C997" s="16" t="n"/>
      <c r="D997" s="16" t="n"/>
      <c r="E997" s="17" t="n"/>
    </row>
    <row r="998">
      <c r="B998" s="15" t="n"/>
      <c r="C998" s="16" t="n"/>
      <c r="D998" s="16" t="n"/>
      <c r="E998" s="17" t="n"/>
    </row>
    <row r="999">
      <c r="B999" s="15" t="n"/>
      <c r="C999" s="16" t="n"/>
      <c r="D999" s="16" t="n"/>
      <c r="E999" s="17" t="n"/>
    </row>
    <row r="1000">
      <c r="B1000" s="15" t="n"/>
      <c r="C1000" s="16" t="n"/>
      <c r="D1000" s="16" t="n"/>
      <c r="E1000" s="17" t="n"/>
    </row>
    <row r="1001">
      <c r="B1001" s="15" t="n"/>
      <c r="C1001" s="16" t="n"/>
      <c r="D1001" s="16" t="n"/>
      <c r="E1001" s="17" t="n"/>
    </row>
    <row r="1002">
      <c r="B1002" s="15" t="n"/>
      <c r="C1002" s="16" t="n"/>
      <c r="D1002" s="16" t="n"/>
      <c r="E1002" s="17" t="n"/>
    </row>
    <row r="1003">
      <c r="B1003" s="15" t="n"/>
      <c r="C1003" s="16" t="n"/>
      <c r="D1003" s="16" t="n"/>
      <c r="E1003" s="17" t="n"/>
    </row>
    <row r="1004">
      <c r="B1004" s="15" t="n"/>
      <c r="C1004" s="16" t="n"/>
      <c r="D1004" s="16" t="n"/>
      <c r="E1004" s="17" t="n"/>
    </row>
    <row r="1005">
      <c r="B1005" s="15" t="n"/>
      <c r="C1005" s="16" t="n"/>
      <c r="D1005" s="16" t="n"/>
      <c r="E1005" s="17" t="n"/>
    </row>
    <row r="1006">
      <c r="B1006" s="15" t="n"/>
      <c r="C1006" s="16" t="n"/>
      <c r="D1006" s="16" t="n"/>
      <c r="E1006" s="17" t="n"/>
    </row>
    <row r="1007">
      <c r="B1007" s="15" t="n"/>
      <c r="C1007" s="16" t="n"/>
      <c r="D1007" s="16" t="n"/>
      <c r="E1007" s="17" t="n"/>
    </row>
    <row r="1008">
      <c r="B1008" s="15" t="n"/>
      <c r="C1008" s="16" t="n"/>
      <c r="D1008" s="16" t="n"/>
      <c r="E1008" s="17" t="n"/>
    </row>
    <row r="1009">
      <c r="B1009" s="15" t="n"/>
      <c r="C1009" s="16" t="n"/>
      <c r="D1009" s="16" t="n"/>
      <c r="E1009" s="17" t="n"/>
    </row>
    <row r="1010">
      <c r="B1010" s="15" t="n"/>
      <c r="C1010" s="16" t="n"/>
      <c r="D1010" s="16" t="n"/>
      <c r="E1010" s="17" t="n"/>
    </row>
    <row r="1011">
      <c r="B1011" s="15" t="n"/>
      <c r="C1011" s="16" t="n"/>
      <c r="D1011" s="16" t="n"/>
      <c r="E1011" s="17" t="n"/>
    </row>
    <row r="1012">
      <c r="B1012" s="15" t="n"/>
      <c r="C1012" s="16" t="n"/>
      <c r="D1012" s="16" t="n"/>
      <c r="E1012" s="17" t="n"/>
    </row>
    <row r="1013">
      <c r="B1013" s="15" t="n"/>
      <c r="C1013" s="16" t="n"/>
      <c r="D1013" s="16" t="n"/>
      <c r="E1013" s="17" t="n"/>
    </row>
    <row r="1014">
      <c r="B1014" s="15" t="n"/>
      <c r="C1014" s="16" t="n"/>
      <c r="D1014" s="16" t="n"/>
      <c r="E1014" s="17" t="n"/>
    </row>
    <row r="1015">
      <c r="B1015" s="15" t="n"/>
      <c r="C1015" s="16" t="n"/>
      <c r="D1015" s="16" t="n"/>
      <c r="E1015" s="17" t="n"/>
    </row>
    <row r="1016">
      <c r="B1016" s="15" t="n"/>
      <c r="C1016" s="16" t="n"/>
      <c r="D1016" s="16" t="n"/>
      <c r="E1016" s="17" t="n"/>
    </row>
    <row r="1017">
      <c r="B1017" s="15" t="n"/>
      <c r="C1017" s="16" t="n"/>
      <c r="D1017" s="16" t="n"/>
      <c r="E1017" s="17" t="n"/>
    </row>
    <row r="1018">
      <c r="B1018" s="15" t="n"/>
      <c r="C1018" s="16" t="n"/>
      <c r="D1018" s="16" t="n"/>
      <c r="E1018" s="17" t="n"/>
    </row>
    <row r="1019">
      <c r="B1019" s="15" t="n"/>
      <c r="C1019" s="16" t="n"/>
      <c r="D1019" s="16" t="n"/>
      <c r="E1019" s="17" t="n"/>
    </row>
    <row r="1020">
      <c r="B1020" s="15" t="n"/>
      <c r="C1020" s="16" t="n"/>
      <c r="D1020" s="16" t="n"/>
      <c r="E1020" s="17" t="n"/>
    </row>
    <row r="1021">
      <c r="B1021" s="15" t="n"/>
      <c r="C1021" s="16" t="n"/>
      <c r="D1021" s="16" t="n"/>
      <c r="E1021" s="17" t="n"/>
    </row>
    <row r="1022">
      <c r="B1022" s="15" t="n"/>
      <c r="C1022" s="16" t="n"/>
      <c r="D1022" s="16" t="n"/>
      <c r="E1022" s="17" t="n"/>
    </row>
    <row r="1023">
      <c r="B1023" s="15" t="n"/>
      <c r="C1023" s="16" t="n"/>
      <c r="D1023" s="16" t="n"/>
      <c r="E1023" s="17" t="n"/>
    </row>
    <row r="1024">
      <c r="B1024" s="15" t="n"/>
      <c r="C1024" s="16" t="n"/>
      <c r="D1024" s="16" t="n"/>
      <c r="E1024" s="17" t="n"/>
    </row>
    <row r="1025">
      <c r="B1025" s="15" t="n"/>
      <c r="C1025" s="16" t="n"/>
      <c r="D1025" s="16" t="n"/>
      <c r="E1025" s="17" t="n"/>
    </row>
    <row r="1026">
      <c r="B1026" s="15" t="n"/>
      <c r="C1026" s="16" t="n"/>
      <c r="D1026" s="16" t="n"/>
      <c r="E1026" s="17" t="n"/>
    </row>
    <row r="1027">
      <c r="B1027" s="15" t="n"/>
      <c r="C1027" s="16" t="n"/>
      <c r="D1027" s="16" t="n"/>
      <c r="E1027" s="17" t="n"/>
    </row>
    <row r="1028">
      <c r="B1028" s="15" t="n"/>
      <c r="C1028" s="16" t="n"/>
      <c r="D1028" s="16" t="n"/>
      <c r="E1028" s="17" t="n"/>
    </row>
    <row r="1029">
      <c r="B1029" s="15" t="n"/>
      <c r="C1029" s="16" t="n"/>
      <c r="D1029" s="16" t="n"/>
      <c r="E1029" s="17" t="n"/>
    </row>
    <row r="1030">
      <c r="B1030" s="15" t="n"/>
      <c r="C1030" s="16" t="n"/>
      <c r="D1030" s="16" t="n"/>
      <c r="E1030" s="17" t="n"/>
    </row>
    <row r="1031">
      <c r="B1031" s="15" t="n"/>
      <c r="C1031" s="16" t="n"/>
      <c r="D1031" s="16" t="n"/>
      <c r="E1031" s="17" t="n"/>
    </row>
    <row r="1032">
      <c r="B1032" s="15" t="n"/>
      <c r="C1032" s="16" t="n"/>
      <c r="D1032" s="16" t="n"/>
      <c r="E1032" s="17" t="n"/>
    </row>
    <row r="1033">
      <c r="B1033" s="15" t="n"/>
      <c r="C1033" s="16" t="n"/>
      <c r="D1033" s="16" t="n"/>
      <c r="E1033" s="17" t="n"/>
    </row>
    <row r="1034">
      <c r="B1034" s="15" t="n"/>
      <c r="C1034" s="16" t="n"/>
      <c r="D1034" s="16" t="n"/>
      <c r="E1034" s="17" t="n"/>
    </row>
    <row r="1035">
      <c r="B1035" s="15" t="n"/>
      <c r="C1035" s="16" t="n"/>
      <c r="D1035" s="16" t="n"/>
      <c r="E1035" s="17" t="n"/>
    </row>
    <row r="1036">
      <c r="B1036" s="15" t="n"/>
      <c r="C1036" s="16" t="n"/>
      <c r="D1036" s="16" t="n"/>
      <c r="E1036" s="17" t="n"/>
    </row>
    <row r="1037">
      <c r="B1037" s="15" t="n"/>
      <c r="C1037" s="16" t="n"/>
      <c r="D1037" s="16" t="n"/>
      <c r="E1037" s="17" t="n"/>
    </row>
    <row r="1038">
      <c r="B1038" s="15" t="n"/>
      <c r="C1038" s="16" t="n"/>
      <c r="D1038" s="16" t="n"/>
      <c r="E1038" s="17" t="n"/>
    </row>
    <row r="1039">
      <c r="B1039" s="15" t="n"/>
      <c r="C1039" s="16" t="n"/>
      <c r="D1039" s="16" t="n"/>
      <c r="E1039" s="17" t="n"/>
    </row>
    <row r="1040">
      <c r="B1040" s="15" t="n"/>
      <c r="C1040" s="16" t="n"/>
      <c r="D1040" s="16" t="n"/>
      <c r="E1040" s="17" t="n"/>
    </row>
    <row r="1041">
      <c r="B1041" s="15" t="n"/>
      <c r="C1041" s="16" t="n"/>
      <c r="D1041" s="16" t="n"/>
      <c r="E1041" s="17" t="n"/>
    </row>
    <row r="1042">
      <c r="B1042" s="15" t="n"/>
      <c r="C1042" s="16" t="n"/>
      <c r="D1042" s="16" t="n"/>
      <c r="E1042" s="17" t="n"/>
    </row>
    <row r="1043">
      <c r="B1043" s="15" t="n"/>
      <c r="C1043" s="16" t="n"/>
      <c r="D1043" s="16" t="n"/>
      <c r="E1043" s="17" t="n"/>
    </row>
    <row r="1044">
      <c r="B1044" s="15" t="n"/>
      <c r="C1044" s="16" t="n"/>
      <c r="D1044" s="16" t="n"/>
      <c r="E1044" s="17" t="n"/>
    </row>
    <row r="1045">
      <c r="B1045" s="15" t="n"/>
      <c r="C1045" s="16" t="n"/>
      <c r="D1045" s="16" t="n"/>
      <c r="E1045" s="17" t="n"/>
    </row>
    <row r="1046">
      <c r="B1046" s="15" t="n"/>
      <c r="C1046" s="16" t="n"/>
      <c r="D1046" s="16" t="n"/>
      <c r="E1046" s="17" t="n"/>
    </row>
    <row r="1047">
      <c r="B1047" s="15" t="n"/>
      <c r="C1047" s="16" t="n"/>
      <c r="D1047" s="16" t="n"/>
      <c r="E1047" s="17" t="n"/>
    </row>
    <row r="1048">
      <c r="B1048" s="15" t="n"/>
      <c r="C1048" s="16" t="n"/>
      <c r="D1048" s="16" t="n"/>
      <c r="E1048" s="17" t="n"/>
    </row>
    <row r="1049">
      <c r="B1049" s="15" t="n"/>
      <c r="C1049" s="16" t="n"/>
      <c r="D1049" s="16" t="n"/>
      <c r="E1049" s="17" t="n"/>
    </row>
    <row r="1050">
      <c r="B1050" s="15" t="n"/>
      <c r="C1050" s="16" t="n"/>
      <c r="D1050" s="16" t="n"/>
      <c r="E1050" s="17" t="n"/>
    </row>
    <row r="1051">
      <c r="B1051" s="15" t="n"/>
      <c r="C1051" s="16" t="n"/>
      <c r="D1051" s="16" t="n"/>
      <c r="E1051" s="17" t="n"/>
    </row>
    <row r="1052">
      <c r="B1052" s="15" t="n"/>
      <c r="C1052" s="16" t="n"/>
      <c r="D1052" s="16" t="n"/>
      <c r="E1052" s="17" t="n"/>
    </row>
    <row r="1053">
      <c r="B1053" s="15" t="n"/>
      <c r="C1053" s="16" t="n"/>
      <c r="D1053" s="16" t="n"/>
      <c r="E1053" s="17" t="n"/>
    </row>
    <row r="1054">
      <c r="B1054" s="15" t="n"/>
      <c r="C1054" s="16" t="n"/>
      <c r="D1054" s="16" t="n"/>
      <c r="E1054" s="17" t="n"/>
    </row>
    <row r="1055">
      <c r="B1055" s="15" t="n"/>
      <c r="C1055" s="16" t="n"/>
      <c r="D1055" s="16" t="n"/>
      <c r="E1055" s="17" t="n"/>
    </row>
    <row r="1056">
      <c r="B1056" s="15" t="n"/>
      <c r="C1056" s="16" t="n"/>
      <c r="D1056" s="16" t="n"/>
      <c r="E1056" s="17" t="n"/>
    </row>
    <row r="1057">
      <c r="B1057" s="15" t="n"/>
      <c r="C1057" s="16" t="n"/>
      <c r="D1057" s="16" t="n"/>
      <c r="E1057" s="17" t="n"/>
    </row>
    <row r="1058">
      <c r="B1058" s="15" t="n"/>
      <c r="C1058" s="16" t="n"/>
      <c r="D1058" s="16" t="n"/>
      <c r="E1058" s="17" t="n"/>
    </row>
    <row r="1059">
      <c r="B1059" s="15" t="n"/>
      <c r="C1059" s="16" t="n"/>
      <c r="D1059" s="16" t="n"/>
      <c r="E1059" s="17" t="n"/>
    </row>
    <row r="1060">
      <c r="B1060" s="15" t="n"/>
      <c r="C1060" s="16" t="n"/>
      <c r="D1060" s="16" t="n"/>
      <c r="E1060" s="17" t="n"/>
    </row>
    <row r="1061">
      <c r="B1061" s="15" t="n"/>
      <c r="C1061" s="16" t="n"/>
      <c r="D1061" s="16" t="n"/>
      <c r="E1061" s="17" t="n"/>
    </row>
    <row r="1062">
      <c r="B1062" s="15" t="n"/>
      <c r="C1062" s="16" t="n"/>
      <c r="D1062" s="16" t="n"/>
      <c r="E1062" s="17" t="n"/>
    </row>
    <row r="1063">
      <c r="B1063" s="15" t="n"/>
      <c r="C1063" s="16" t="n"/>
      <c r="D1063" s="16" t="n"/>
      <c r="E1063" s="17" t="n"/>
    </row>
    <row r="1064">
      <c r="B1064" s="15" t="n"/>
      <c r="C1064" s="16" t="n"/>
      <c r="D1064" s="16" t="n"/>
      <c r="E1064" s="17" t="n"/>
    </row>
    <row r="1065">
      <c r="B1065" s="15" t="n"/>
      <c r="C1065" s="16" t="n"/>
      <c r="D1065" s="16" t="n"/>
      <c r="E1065" s="17" t="n"/>
    </row>
    <row r="1066">
      <c r="B1066" s="15" t="n"/>
      <c r="C1066" s="16" t="n"/>
      <c r="D1066" s="16" t="n"/>
      <c r="E1066" s="17" t="n"/>
    </row>
    <row r="1067">
      <c r="B1067" s="15" t="n"/>
      <c r="C1067" s="16" t="n"/>
      <c r="D1067" s="16" t="n"/>
      <c r="E1067" s="17" t="n"/>
    </row>
    <row r="1068">
      <c r="B1068" s="15" t="n"/>
      <c r="C1068" s="16" t="n"/>
      <c r="D1068" s="16" t="n"/>
      <c r="E1068" s="17" t="n"/>
    </row>
    <row r="1069">
      <c r="B1069" s="15" t="n"/>
      <c r="C1069" s="16" t="n"/>
      <c r="D1069" s="16" t="n"/>
      <c r="E1069" s="17" t="n"/>
    </row>
    <row r="1070">
      <c r="B1070" s="15" t="n"/>
      <c r="C1070" s="16" t="n"/>
      <c r="D1070" s="16" t="n"/>
      <c r="E1070" s="17" t="n"/>
    </row>
    <row r="1071">
      <c r="B1071" s="15" t="n"/>
      <c r="C1071" s="16" t="n"/>
      <c r="D1071" s="16" t="n"/>
      <c r="E1071" s="17" t="n"/>
    </row>
    <row r="1072">
      <c r="B1072" s="15" t="n"/>
      <c r="C1072" s="16" t="n"/>
      <c r="D1072" s="16" t="n"/>
      <c r="E1072" s="17" t="n"/>
    </row>
    <row r="1073">
      <c r="B1073" s="15" t="n"/>
      <c r="C1073" s="16" t="n"/>
      <c r="D1073" s="16" t="n"/>
      <c r="E1073" s="17" t="n"/>
    </row>
    <row r="1074">
      <c r="B1074" s="15" t="n"/>
      <c r="C1074" s="16" t="n"/>
      <c r="D1074" s="16" t="n"/>
      <c r="E1074" s="17" t="n"/>
    </row>
    <row r="1075">
      <c r="B1075" s="15" t="n"/>
      <c r="C1075" s="16" t="n"/>
      <c r="D1075" s="16" t="n"/>
      <c r="E1075" s="17" t="n"/>
    </row>
    <row r="1076">
      <c r="B1076" s="15" t="n"/>
      <c r="C1076" s="16" t="n"/>
      <c r="D1076" s="16" t="n"/>
      <c r="E1076" s="17" t="n"/>
    </row>
    <row r="1077">
      <c r="B1077" s="15" t="n"/>
      <c r="C1077" s="16" t="n"/>
      <c r="D1077" s="16" t="n"/>
      <c r="E1077" s="17" t="n"/>
    </row>
    <row r="1078">
      <c r="B1078" s="15" t="n"/>
      <c r="C1078" s="16" t="n"/>
      <c r="D1078" s="16" t="n"/>
      <c r="E1078" s="17" t="n"/>
    </row>
    <row r="1079">
      <c r="B1079" s="15" t="n"/>
      <c r="C1079" s="16" t="n"/>
      <c r="D1079" s="16" t="n"/>
      <c r="E1079" s="17" t="n"/>
    </row>
    <row r="1080">
      <c r="B1080" s="15" t="n"/>
      <c r="C1080" s="16" t="n"/>
      <c r="D1080" s="16" t="n"/>
      <c r="E1080" s="17" t="n"/>
    </row>
    <row r="1081">
      <c r="B1081" s="15" t="n"/>
      <c r="C1081" s="16" t="n"/>
      <c r="D1081" s="16" t="n"/>
      <c r="E1081" s="17" t="n"/>
    </row>
    <row r="1082">
      <c r="B1082" s="15" t="n"/>
      <c r="C1082" s="16" t="n"/>
      <c r="D1082" s="16" t="n"/>
      <c r="E1082" s="17" t="n"/>
    </row>
    <row r="1083">
      <c r="B1083" s="15" t="n"/>
      <c r="C1083" s="16" t="n"/>
      <c r="D1083" s="16" t="n"/>
      <c r="E1083" s="17" t="n"/>
    </row>
    <row r="1084">
      <c r="B1084" s="15" t="n"/>
      <c r="C1084" s="16" t="n"/>
      <c r="D1084" s="16" t="n"/>
      <c r="E1084" s="17" t="n"/>
    </row>
    <row r="1085">
      <c r="B1085" s="15" t="n"/>
      <c r="C1085" s="16" t="n"/>
      <c r="D1085" s="16" t="n"/>
      <c r="E1085" s="17" t="n"/>
    </row>
    <row r="1086">
      <c r="B1086" s="15" t="n"/>
      <c r="C1086" s="16" t="n"/>
      <c r="D1086" s="16" t="n"/>
      <c r="E1086" s="17" t="n"/>
    </row>
    <row r="1087">
      <c r="B1087" s="15" t="n"/>
      <c r="C1087" s="16" t="n"/>
      <c r="D1087" s="16" t="n"/>
      <c r="E1087" s="17" t="n"/>
    </row>
    <row r="1088">
      <c r="B1088" s="15" t="n"/>
      <c r="C1088" s="16" t="n"/>
      <c r="D1088" s="16" t="n"/>
      <c r="E1088" s="17" t="n"/>
    </row>
    <row r="1089">
      <c r="B1089" s="15" t="n"/>
      <c r="C1089" s="16" t="n"/>
      <c r="D1089" s="16" t="n"/>
      <c r="E1089" s="17" t="n"/>
    </row>
    <row r="1090">
      <c r="B1090" s="15" t="n"/>
      <c r="C1090" s="16" t="n"/>
      <c r="D1090" s="16" t="n"/>
      <c r="E1090" s="17" t="n"/>
    </row>
    <row r="1091">
      <c r="B1091" s="15" t="n"/>
      <c r="C1091" s="16" t="n"/>
      <c r="D1091" s="16" t="n"/>
      <c r="E1091" s="17" t="n"/>
    </row>
    <row r="1092">
      <c r="B1092" s="15" t="n"/>
      <c r="C1092" s="16" t="n"/>
      <c r="D1092" s="16" t="n"/>
      <c r="E1092" s="17" t="n"/>
    </row>
    <row r="1093">
      <c r="B1093" s="15" t="n"/>
      <c r="C1093" s="16" t="n"/>
      <c r="D1093" s="16" t="n"/>
      <c r="E1093" s="17" t="n"/>
    </row>
    <row r="1094">
      <c r="B1094" s="15" t="n"/>
      <c r="C1094" s="16" t="n"/>
      <c r="D1094" s="16" t="n"/>
      <c r="E1094" s="17" t="n"/>
    </row>
    <row r="1095">
      <c r="B1095" s="15" t="n"/>
      <c r="C1095" s="16" t="n"/>
      <c r="D1095" s="16" t="n"/>
      <c r="E1095" s="17" t="n"/>
    </row>
    <row r="1096">
      <c r="B1096" s="15" t="n"/>
      <c r="C1096" s="16" t="n"/>
      <c r="D1096" s="16" t="n"/>
      <c r="E1096" s="17" t="n"/>
    </row>
    <row r="1097">
      <c r="B1097" s="15" t="n"/>
      <c r="C1097" s="16" t="n"/>
      <c r="D1097" s="16" t="n"/>
      <c r="E1097" s="17" t="n"/>
    </row>
    <row r="1098">
      <c r="B1098" s="15" t="n"/>
      <c r="C1098" s="16" t="n"/>
      <c r="D1098" s="16" t="n"/>
      <c r="E1098" s="17" t="n"/>
    </row>
    <row r="1099">
      <c r="B1099" s="15" t="n"/>
      <c r="C1099" s="16" t="n"/>
      <c r="D1099" s="16" t="n"/>
      <c r="E1099" s="17" t="n"/>
    </row>
    <row r="1100">
      <c r="B1100" s="15" t="n"/>
      <c r="C1100" s="16" t="n"/>
      <c r="D1100" s="16" t="n"/>
      <c r="E1100" s="17" t="n"/>
    </row>
    <row r="1101">
      <c r="B1101" s="15" t="n"/>
      <c r="C1101" s="16" t="n"/>
      <c r="D1101" s="16" t="n"/>
      <c r="E1101" s="17" t="n"/>
    </row>
    <row r="1102">
      <c r="B1102" s="15" t="n"/>
      <c r="C1102" s="16" t="n"/>
      <c r="D1102" s="16" t="n"/>
      <c r="E1102" s="17" t="n"/>
    </row>
    <row r="1103">
      <c r="B1103" s="15" t="n"/>
      <c r="C1103" s="16" t="n"/>
      <c r="D1103" s="16" t="n"/>
      <c r="E1103" s="17" t="n"/>
    </row>
    <row r="1104">
      <c r="B1104" s="15" t="n"/>
      <c r="C1104" s="16" t="n"/>
      <c r="D1104" s="16" t="n"/>
      <c r="E1104" s="17" t="n"/>
    </row>
    <row r="1105">
      <c r="B1105" s="15" t="n"/>
      <c r="C1105" s="16" t="n"/>
      <c r="D1105" s="16" t="n"/>
      <c r="E1105" s="17" t="n"/>
    </row>
    <row r="1106">
      <c r="B1106" s="15" t="n"/>
      <c r="C1106" s="16" t="n"/>
      <c r="D1106" s="16" t="n"/>
      <c r="E1106" s="17" t="n"/>
    </row>
    <row r="1107">
      <c r="B1107" s="15" t="n"/>
      <c r="C1107" s="16" t="n"/>
      <c r="D1107" s="16" t="n"/>
      <c r="E1107" s="17" t="n"/>
    </row>
    <row r="1108">
      <c r="B1108" s="15" t="n"/>
      <c r="C1108" s="16" t="n"/>
      <c r="D1108" s="16" t="n"/>
      <c r="E1108" s="17" t="n"/>
    </row>
    <row r="1109">
      <c r="B1109" s="15" t="n"/>
      <c r="C1109" s="16" t="n"/>
      <c r="D1109" s="16" t="n"/>
      <c r="E1109" s="17" t="n"/>
    </row>
    <row r="1110">
      <c r="B1110" s="15" t="n"/>
      <c r="C1110" s="16" t="n"/>
      <c r="D1110" s="16" t="n"/>
      <c r="E1110" s="17" t="n"/>
    </row>
    <row r="1111">
      <c r="B1111" s="15" t="n"/>
      <c r="C1111" s="16" t="n"/>
      <c r="D1111" s="16" t="n"/>
      <c r="E1111" s="17" t="n"/>
    </row>
    <row r="1112">
      <c r="B1112" s="15" t="n"/>
      <c r="C1112" s="16" t="n"/>
      <c r="D1112" s="16" t="n"/>
      <c r="E1112" s="17" t="n"/>
    </row>
    <row r="1113">
      <c r="B1113" s="15" t="n"/>
      <c r="C1113" s="16" t="n"/>
      <c r="D1113" s="16" t="n"/>
      <c r="E1113" s="17" t="n"/>
    </row>
    <row r="1114">
      <c r="B1114" s="15" t="n"/>
      <c r="C1114" s="16" t="n"/>
      <c r="D1114" s="16" t="n"/>
      <c r="E1114" s="17" t="n"/>
    </row>
    <row r="1115">
      <c r="B1115" s="15" t="n"/>
      <c r="C1115" s="16" t="n"/>
      <c r="D1115" s="16" t="n"/>
      <c r="E1115" s="17" t="n"/>
    </row>
    <row r="1116">
      <c r="B1116" s="15" t="n"/>
      <c r="C1116" s="16" t="n"/>
      <c r="D1116" s="16" t="n"/>
      <c r="E1116" s="17" t="n"/>
    </row>
    <row r="1117">
      <c r="B1117" s="15" t="n"/>
      <c r="C1117" s="16" t="n"/>
      <c r="D1117" s="16" t="n"/>
      <c r="E1117" s="17" t="n"/>
    </row>
    <row r="1118">
      <c r="B1118" s="15" t="n"/>
      <c r="C1118" s="16" t="n"/>
      <c r="D1118" s="16" t="n"/>
      <c r="E1118" s="17" t="n"/>
    </row>
    <row r="1119">
      <c r="B1119" s="15" t="n"/>
      <c r="C1119" s="16" t="n"/>
      <c r="D1119" s="16" t="n"/>
      <c r="E1119" s="17" t="n"/>
    </row>
    <row r="1120">
      <c r="B1120" s="15" t="n"/>
      <c r="C1120" s="16" t="n"/>
      <c r="D1120" s="16" t="n"/>
      <c r="E1120" s="17" t="n"/>
    </row>
    <row r="1121">
      <c r="B1121" s="15" t="n"/>
      <c r="C1121" s="16" t="n"/>
      <c r="D1121" s="16" t="n"/>
      <c r="E1121" s="17" t="n"/>
    </row>
    <row r="1122">
      <c r="B1122" s="15" t="n"/>
      <c r="C1122" s="16" t="n"/>
      <c r="D1122" s="16" t="n"/>
      <c r="E1122" s="17" t="n"/>
    </row>
    <row r="1123">
      <c r="B1123" s="15" t="n"/>
      <c r="C1123" s="16" t="n"/>
      <c r="D1123" s="16" t="n"/>
      <c r="E1123" s="17" t="n"/>
    </row>
    <row r="1124">
      <c r="B1124" s="15" t="n"/>
      <c r="C1124" s="16" t="n"/>
      <c r="D1124" s="16" t="n"/>
      <c r="E1124" s="17" t="n"/>
    </row>
    <row r="1125">
      <c r="B1125" s="15" t="n"/>
      <c r="C1125" s="16" t="n"/>
      <c r="D1125" s="16" t="n"/>
      <c r="E1125" s="17" t="n"/>
    </row>
    <row r="1126">
      <c r="B1126" s="15" t="n"/>
      <c r="C1126" s="16" t="n"/>
      <c r="D1126" s="16" t="n"/>
      <c r="E1126" s="17" t="n"/>
    </row>
    <row r="1127">
      <c r="B1127" s="15" t="n"/>
      <c r="C1127" s="16" t="n"/>
      <c r="D1127" s="16" t="n"/>
      <c r="E1127" s="17" t="n"/>
    </row>
    <row r="1128">
      <c r="B1128" s="15" t="n"/>
      <c r="C1128" s="16" t="n"/>
      <c r="D1128" s="16" t="n"/>
      <c r="E1128" s="17" t="n"/>
    </row>
    <row r="1129">
      <c r="B1129" s="15" t="n"/>
      <c r="C1129" s="16" t="n"/>
      <c r="D1129" s="16" t="n"/>
      <c r="E1129" s="17" t="n"/>
    </row>
    <row r="1130">
      <c r="B1130" s="15" t="n"/>
      <c r="C1130" s="16" t="n"/>
      <c r="D1130" s="16" t="n"/>
      <c r="E1130" s="17" t="n"/>
    </row>
    <row r="1131">
      <c r="B1131" s="15" t="n"/>
      <c r="C1131" s="16" t="n"/>
      <c r="D1131" s="16" t="n"/>
      <c r="E1131" s="17" t="n"/>
    </row>
    <row r="1132">
      <c r="B1132" s="15" t="n"/>
      <c r="C1132" s="16" t="n"/>
      <c r="D1132" s="16" t="n"/>
      <c r="E1132" s="17" t="n"/>
    </row>
    <row r="1133">
      <c r="B1133" s="15" t="n"/>
      <c r="C1133" s="16" t="n"/>
      <c r="D1133" s="16" t="n"/>
      <c r="E1133" s="17" t="n"/>
    </row>
    <row r="1134">
      <c r="B1134" s="15" t="n"/>
      <c r="C1134" s="16" t="n"/>
      <c r="D1134" s="16" t="n"/>
      <c r="E1134" s="17" t="n"/>
    </row>
    <row r="1135">
      <c r="B1135" s="15" t="n"/>
      <c r="C1135" s="16" t="n"/>
      <c r="D1135" s="16" t="n"/>
      <c r="E1135" s="17" t="n"/>
    </row>
    <row r="1136">
      <c r="B1136" s="15" t="n"/>
      <c r="C1136" s="16" t="n"/>
      <c r="D1136" s="16" t="n"/>
      <c r="E1136" s="17" t="n"/>
    </row>
    <row r="1137">
      <c r="B1137" s="15" t="n"/>
      <c r="C1137" s="16" t="n"/>
      <c r="D1137" s="16" t="n"/>
      <c r="E1137" s="17" t="n"/>
    </row>
    <row r="1138">
      <c r="B1138" s="15" t="n"/>
      <c r="C1138" s="16" t="n"/>
      <c r="D1138" s="16" t="n"/>
      <c r="E1138" s="17" t="n"/>
    </row>
    <row r="1139">
      <c r="B1139" s="15" t="n"/>
      <c r="C1139" s="16" t="n"/>
      <c r="D1139" s="16" t="n"/>
      <c r="E1139" s="17" t="n"/>
    </row>
    <row r="1140">
      <c r="B1140" s="15" t="n"/>
      <c r="C1140" s="16" t="n"/>
      <c r="D1140" s="16" t="n"/>
      <c r="E1140" s="17" t="n"/>
    </row>
    <row r="1141">
      <c r="B1141" s="15" t="n"/>
      <c r="C1141" s="16" t="n"/>
      <c r="D1141" s="16" t="n"/>
      <c r="E1141" s="17" t="n"/>
    </row>
    <row r="1142">
      <c r="B1142" s="15" t="n"/>
      <c r="C1142" s="16" t="n"/>
      <c r="D1142" s="16" t="n"/>
      <c r="E1142" s="17" t="n"/>
    </row>
    <row r="1143">
      <c r="B1143" s="15" t="n"/>
      <c r="C1143" s="16" t="n"/>
      <c r="D1143" s="16" t="n"/>
      <c r="E1143" s="17" t="n"/>
    </row>
    <row r="1144">
      <c r="B1144" s="15" t="n"/>
      <c r="C1144" s="16" t="n"/>
      <c r="D1144" s="16" t="n"/>
      <c r="E1144" s="17" t="n"/>
    </row>
    <row r="1145">
      <c r="B1145" s="15" t="n"/>
      <c r="C1145" s="16" t="n"/>
      <c r="D1145" s="16" t="n"/>
      <c r="E1145" s="17" t="n"/>
    </row>
    <row r="1146">
      <c r="B1146" s="15" t="n"/>
      <c r="C1146" s="16" t="n"/>
      <c r="D1146" s="16" t="n"/>
      <c r="E1146" s="17" t="n"/>
    </row>
    <row r="1147">
      <c r="B1147" s="15" t="n"/>
      <c r="C1147" s="16" t="n"/>
      <c r="D1147" s="16" t="n"/>
      <c r="E1147" s="17" t="n"/>
    </row>
    <row r="1148">
      <c r="B1148" s="15" t="n"/>
      <c r="C1148" s="16" t="n"/>
      <c r="D1148" s="16" t="n"/>
      <c r="E1148" s="17" t="n"/>
    </row>
    <row r="1149">
      <c r="B1149" s="15" t="n"/>
      <c r="C1149" s="16" t="n"/>
      <c r="D1149" s="16" t="n"/>
      <c r="E1149" s="17" t="n"/>
    </row>
    <row r="1150">
      <c r="B1150" s="15" t="n"/>
      <c r="C1150" s="16" t="n"/>
      <c r="D1150" s="16" t="n"/>
      <c r="E1150" s="17" t="n"/>
    </row>
    <row r="1151">
      <c r="B1151" s="15" t="n"/>
      <c r="C1151" s="16" t="n"/>
      <c r="D1151" s="16" t="n"/>
      <c r="E1151" s="17" t="n"/>
    </row>
    <row r="1152">
      <c r="B1152" s="15" t="n"/>
      <c r="C1152" s="16" t="n"/>
      <c r="D1152" s="16" t="n"/>
      <c r="E1152" s="17" t="n"/>
    </row>
    <row r="1153">
      <c r="B1153" s="15" t="n"/>
      <c r="C1153" s="16" t="n"/>
      <c r="D1153" s="16" t="n"/>
      <c r="E1153" s="17" t="n"/>
    </row>
    <row r="1154">
      <c r="B1154" s="15" t="n"/>
      <c r="C1154" s="16" t="n"/>
      <c r="D1154" s="16" t="n"/>
      <c r="E1154" s="17" t="n"/>
    </row>
    <row r="1155">
      <c r="B1155" s="15" t="n"/>
      <c r="C1155" s="16" t="n"/>
      <c r="D1155" s="16" t="n"/>
      <c r="E1155" s="17" t="n"/>
    </row>
    <row r="1156">
      <c r="B1156" s="15" t="n"/>
      <c r="C1156" s="16" t="n"/>
      <c r="D1156" s="16" t="n"/>
      <c r="E1156" s="17" t="n"/>
    </row>
    <row r="1157">
      <c r="B1157" s="15" t="n"/>
      <c r="C1157" s="16" t="n"/>
      <c r="D1157" s="16" t="n"/>
      <c r="E1157" s="17" t="n"/>
    </row>
    <row r="1158">
      <c r="B1158" s="15" t="n"/>
      <c r="C1158" s="16" t="n"/>
      <c r="D1158" s="16" t="n"/>
      <c r="E1158" s="17" t="n"/>
    </row>
    <row r="1159">
      <c r="B1159" s="15" t="n"/>
      <c r="C1159" s="16" t="n"/>
      <c r="D1159" s="16" t="n"/>
      <c r="E1159" s="17" t="n"/>
    </row>
    <row r="1160">
      <c r="B1160" s="15" t="n"/>
      <c r="C1160" s="16" t="n"/>
      <c r="D1160" s="16" t="n"/>
      <c r="E1160" s="17" t="n"/>
    </row>
    <row r="1161">
      <c r="B1161" s="15" t="n"/>
      <c r="C1161" s="16" t="n"/>
      <c r="D1161" s="16" t="n"/>
      <c r="E1161" s="17" t="n"/>
    </row>
    <row r="1162">
      <c r="B1162" s="15" t="n"/>
      <c r="C1162" s="16" t="n"/>
      <c r="D1162" s="16" t="n"/>
      <c r="E1162" s="17" t="n"/>
    </row>
    <row r="1163">
      <c r="B1163" s="15" t="n"/>
      <c r="C1163" s="16" t="n"/>
      <c r="D1163" s="16" t="n"/>
      <c r="E1163" s="17" t="n"/>
    </row>
    <row r="1164">
      <c r="B1164" s="15" t="n"/>
      <c r="C1164" s="16" t="n"/>
      <c r="D1164" s="16" t="n"/>
      <c r="E1164" s="17" t="n"/>
    </row>
    <row r="1165">
      <c r="B1165" s="15" t="n"/>
      <c r="C1165" s="16" t="n"/>
      <c r="D1165" s="16" t="n"/>
      <c r="E1165" s="17" t="n"/>
    </row>
    <row r="1166">
      <c r="B1166" s="15" t="n"/>
      <c r="C1166" s="16" t="n"/>
      <c r="D1166" s="16" t="n"/>
      <c r="E1166" s="17" t="n"/>
    </row>
    <row r="1167">
      <c r="B1167" s="15" t="n"/>
      <c r="C1167" s="16" t="n"/>
      <c r="D1167" s="16" t="n"/>
      <c r="E1167" s="17" t="n"/>
    </row>
    <row r="1168">
      <c r="B1168" s="15" t="n"/>
      <c r="C1168" s="16" t="n"/>
      <c r="D1168" s="16" t="n"/>
      <c r="E1168" s="17" t="n"/>
    </row>
    <row r="1169">
      <c r="B1169" s="15" t="n"/>
      <c r="C1169" s="16" t="n"/>
      <c r="D1169" s="16" t="n"/>
      <c r="E1169" s="17" t="n"/>
    </row>
    <row r="1170">
      <c r="B1170" s="15" t="n"/>
      <c r="C1170" s="16" t="n"/>
      <c r="D1170" s="16" t="n"/>
      <c r="E1170" s="17" t="n"/>
    </row>
    <row r="1171">
      <c r="B1171" s="15" t="n"/>
      <c r="C1171" s="16" t="n"/>
      <c r="D1171" s="16" t="n"/>
      <c r="E1171" s="17" t="n"/>
    </row>
    <row r="1172">
      <c r="B1172" s="15" t="n"/>
      <c r="C1172" s="16" t="n"/>
      <c r="D1172" s="16" t="n"/>
      <c r="E1172" s="17" t="n"/>
    </row>
    <row r="1173">
      <c r="B1173" s="15" t="n"/>
      <c r="C1173" s="16" t="n"/>
      <c r="D1173" s="16" t="n"/>
      <c r="E1173" s="17" t="n"/>
    </row>
    <row r="1174">
      <c r="B1174" s="15" t="n"/>
      <c r="C1174" s="16" t="n"/>
      <c r="D1174" s="16" t="n"/>
      <c r="E1174" s="17" t="n"/>
    </row>
    <row r="1175">
      <c r="B1175" s="15" t="n"/>
      <c r="C1175" s="16" t="n"/>
      <c r="D1175" s="16" t="n"/>
      <c r="E1175" s="17" t="n"/>
    </row>
    <row r="1176">
      <c r="B1176" s="15" t="n"/>
      <c r="C1176" s="16" t="n"/>
      <c r="D1176" s="16" t="n"/>
      <c r="E1176" s="17" t="n"/>
    </row>
    <row r="1177">
      <c r="B1177" s="15" t="n"/>
      <c r="C1177" s="16" t="n"/>
      <c r="D1177" s="16" t="n"/>
      <c r="E1177" s="17" t="n"/>
    </row>
    <row r="1178">
      <c r="B1178" s="15" t="n"/>
      <c r="C1178" s="16" t="n"/>
      <c r="D1178" s="16" t="n"/>
      <c r="E1178" s="17" t="n"/>
    </row>
    <row r="1179">
      <c r="B1179" s="15" t="n"/>
      <c r="C1179" s="16" t="n"/>
      <c r="D1179" s="16" t="n"/>
      <c r="E1179" s="17" t="n"/>
    </row>
    <row r="1180">
      <c r="B1180" s="15" t="n"/>
      <c r="C1180" s="16" t="n"/>
      <c r="D1180" s="16" t="n"/>
      <c r="E1180" s="17" t="n"/>
    </row>
    <row r="1181">
      <c r="B1181" s="15" t="n"/>
      <c r="C1181" s="16" t="n"/>
      <c r="D1181" s="16" t="n"/>
      <c r="E1181" s="17" t="n"/>
    </row>
    <row r="1182">
      <c r="B1182" s="15" t="n"/>
      <c r="C1182" s="16" t="n"/>
      <c r="D1182" s="16" t="n"/>
      <c r="E1182" s="17" t="n"/>
    </row>
    <row r="1183">
      <c r="B1183" s="15" t="n"/>
      <c r="C1183" s="16" t="n"/>
      <c r="D1183" s="16" t="n"/>
      <c r="E1183" s="17" t="n"/>
    </row>
    <row r="1184">
      <c r="B1184" s="15" t="n"/>
      <c r="C1184" s="16" t="n"/>
      <c r="D1184" s="16" t="n"/>
      <c r="E1184" s="17" t="n"/>
    </row>
    <row r="1185">
      <c r="B1185" s="15" t="n"/>
      <c r="C1185" s="16" t="n"/>
      <c r="D1185" s="16" t="n"/>
      <c r="E1185" s="17" t="n"/>
    </row>
    <row r="1186">
      <c r="B1186" s="15" t="n"/>
      <c r="C1186" s="16" t="n"/>
      <c r="D1186" s="16" t="n"/>
      <c r="E1186" s="17" t="n"/>
    </row>
    <row r="1187">
      <c r="B1187" s="15" t="n"/>
      <c r="C1187" s="16" t="n"/>
      <c r="D1187" s="16" t="n"/>
      <c r="E1187" s="17" t="n"/>
    </row>
    <row r="1188">
      <c r="B1188" s="15" t="n"/>
      <c r="C1188" s="16" t="n"/>
      <c r="D1188" s="16" t="n"/>
      <c r="E1188" s="17" t="n"/>
    </row>
    <row r="1189">
      <c r="B1189" s="15" t="n"/>
      <c r="C1189" s="16" t="n"/>
      <c r="D1189" s="16" t="n"/>
      <c r="E1189" s="17" t="n"/>
    </row>
    <row r="1190">
      <c r="B1190" s="15" t="n"/>
      <c r="C1190" s="16" t="n"/>
      <c r="D1190" s="16" t="n"/>
      <c r="E1190" s="17" t="n"/>
    </row>
    <row r="1191">
      <c r="B1191" s="15" t="n"/>
      <c r="C1191" s="16" t="n"/>
      <c r="D1191" s="16" t="n"/>
      <c r="E1191" s="17" t="n"/>
    </row>
    <row r="1192">
      <c r="B1192" s="15" t="n"/>
      <c r="C1192" s="16" t="n"/>
      <c r="D1192" s="16" t="n"/>
      <c r="E1192" s="17" t="n"/>
    </row>
    <row r="1193">
      <c r="B1193" s="15" t="n"/>
      <c r="C1193" s="16" t="n"/>
      <c r="D1193" s="16" t="n"/>
      <c r="E1193" s="17" t="n"/>
    </row>
    <row r="1194">
      <c r="B1194" s="15" t="n"/>
      <c r="C1194" s="16" t="n"/>
      <c r="D1194" s="16" t="n"/>
      <c r="E1194" s="17" t="n"/>
    </row>
    <row r="1195">
      <c r="B1195" s="15" t="n"/>
      <c r="C1195" s="16" t="n"/>
      <c r="D1195" s="16" t="n"/>
      <c r="E1195" s="17" t="n"/>
    </row>
    <row r="1196">
      <c r="B1196" s="15" t="n"/>
      <c r="C1196" s="16" t="n"/>
      <c r="D1196" s="16" t="n"/>
      <c r="E1196" s="17" t="n"/>
    </row>
    <row r="1197">
      <c r="B1197" s="15" t="n"/>
      <c r="C1197" s="16" t="n"/>
      <c r="D1197" s="16" t="n"/>
      <c r="E1197" s="17" t="n"/>
    </row>
    <row r="1198">
      <c r="B1198" s="15" t="n"/>
      <c r="C1198" s="16" t="n"/>
      <c r="D1198" s="16" t="n"/>
      <c r="E1198" s="17" t="n"/>
    </row>
    <row r="1199">
      <c r="B1199" s="15" t="n"/>
      <c r="C1199" s="16" t="n"/>
      <c r="D1199" s="16" t="n"/>
      <c r="E1199" s="17" t="n"/>
    </row>
    <row r="1200">
      <c r="B1200" s="15" t="n"/>
      <c r="C1200" s="16" t="n"/>
      <c r="D1200" s="16" t="n"/>
      <c r="E1200" s="17" t="n"/>
    </row>
    <row r="1201">
      <c r="B1201" s="15" t="n"/>
      <c r="C1201" s="16" t="n"/>
      <c r="D1201" s="16" t="n"/>
      <c r="E1201" s="17" t="n"/>
    </row>
    <row r="1202">
      <c r="B1202" s="15" t="n"/>
      <c r="C1202" s="16" t="n"/>
      <c r="D1202" s="16" t="n"/>
      <c r="E1202" s="17" t="n"/>
    </row>
    <row r="1203">
      <c r="B1203" s="15" t="n"/>
      <c r="C1203" s="16" t="n"/>
      <c r="D1203" s="16" t="n"/>
      <c r="E1203" s="17" t="n"/>
    </row>
    <row r="1204">
      <c r="B1204" s="15" t="n"/>
      <c r="C1204" s="16" t="n"/>
      <c r="D1204" s="16" t="n"/>
      <c r="E1204" s="17" t="n"/>
    </row>
    <row r="1205">
      <c r="B1205" s="15" t="n"/>
      <c r="C1205" s="16" t="n"/>
      <c r="D1205" s="16" t="n"/>
      <c r="E1205" s="17" t="n"/>
    </row>
    <row r="1206">
      <c r="B1206" s="15" t="n"/>
      <c r="C1206" s="16" t="n"/>
      <c r="D1206" s="16" t="n"/>
      <c r="E1206" s="17" t="n"/>
    </row>
    <row r="1207">
      <c r="B1207" s="15" t="n"/>
      <c r="C1207" s="16" t="n"/>
      <c r="D1207" s="16" t="n"/>
      <c r="E1207" s="17" t="n"/>
    </row>
    <row r="1208">
      <c r="B1208" s="15" t="n"/>
      <c r="C1208" s="16" t="n"/>
      <c r="D1208" s="16" t="n"/>
      <c r="E1208" s="17" t="n"/>
    </row>
    <row r="1209">
      <c r="B1209" s="15" t="n"/>
      <c r="C1209" s="16" t="n"/>
      <c r="D1209" s="16" t="n"/>
      <c r="E1209" s="17" t="n"/>
    </row>
    <row r="1210">
      <c r="B1210" s="15" t="n"/>
      <c r="C1210" s="16" t="n"/>
      <c r="D1210" s="16" t="n"/>
      <c r="E1210" s="17" t="n"/>
    </row>
    <row r="1211">
      <c r="B1211" s="15" t="n"/>
      <c r="C1211" s="16" t="n"/>
      <c r="D1211" s="16" t="n"/>
      <c r="E1211" s="17" t="n"/>
    </row>
    <row r="1212">
      <c r="B1212" s="15" t="n"/>
      <c r="C1212" s="16" t="n"/>
      <c r="D1212" s="16" t="n"/>
      <c r="E1212" s="17" t="n"/>
    </row>
    <row r="1213">
      <c r="B1213" s="15" t="n"/>
      <c r="C1213" s="16" t="n"/>
      <c r="D1213" s="16" t="n"/>
      <c r="E1213" s="17" t="n"/>
    </row>
    <row r="1214">
      <c r="B1214" s="15" t="n"/>
      <c r="C1214" s="16" t="n"/>
      <c r="D1214" s="16" t="n"/>
      <c r="E1214" s="17" t="n"/>
    </row>
    <row r="1215">
      <c r="B1215" s="15" t="n"/>
      <c r="C1215" s="16" t="n"/>
      <c r="D1215" s="16" t="n"/>
      <c r="E1215" s="17" t="n"/>
    </row>
    <row r="1216">
      <c r="B1216" s="15" t="n"/>
      <c r="C1216" s="16" t="n"/>
      <c r="D1216" s="16" t="n"/>
      <c r="E1216" s="17" t="n"/>
    </row>
    <row r="1217">
      <c r="B1217" s="15" t="n"/>
      <c r="C1217" s="16" t="n"/>
      <c r="D1217" s="16" t="n"/>
      <c r="E1217" s="17" t="n"/>
    </row>
    <row r="1218">
      <c r="B1218" s="15" t="n"/>
      <c r="C1218" s="16" t="n"/>
      <c r="D1218" s="16" t="n"/>
      <c r="E1218" s="17" t="n"/>
    </row>
    <row r="1219">
      <c r="B1219" s="15" t="n"/>
      <c r="C1219" s="16" t="n"/>
      <c r="D1219" s="16" t="n"/>
      <c r="E1219" s="17" t="n"/>
    </row>
    <row r="1220">
      <c r="B1220" s="15" t="n"/>
      <c r="C1220" s="16" t="n"/>
      <c r="D1220" s="16" t="n"/>
      <c r="E1220" s="17" t="n"/>
    </row>
    <row r="1221">
      <c r="B1221" s="15" t="n"/>
      <c r="C1221" s="16" t="n"/>
      <c r="D1221" s="16" t="n"/>
      <c r="E1221" s="17" t="n"/>
    </row>
    <row r="1222">
      <c r="B1222" s="15" t="n"/>
      <c r="C1222" s="16" t="n"/>
      <c r="D1222" s="16" t="n"/>
      <c r="E1222" s="17" t="n"/>
    </row>
    <row r="1223">
      <c r="B1223" s="15" t="n"/>
      <c r="C1223" s="16" t="n"/>
      <c r="D1223" s="16" t="n"/>
      <c r="E1223" s="17" t="n"/>
    </row>
    <row r="1224">
      <c r="B1224" s="15" t="n"/>
      <c r="C1224" s="16" t="n"/>
      <c r="D1224" s="16" t="n"/>
      <c r="E1224" s="17" t="n"/>
    </row>
    <row r="1225">
      <c r="B1225" s="15" t="n"/>
      <c r="C1225" s="16" t="n"/>
      <c r="D1225" s="16" t="n"/>
      <c r="E1225" s="17" t="n"/>
    </row>
    <row r="1226">
      <c r="B1226" s="15" t="n"/>
      <c r="C1226" s="16" t="n"/>
      <c r="D1226" s="16" t="n"/>
      <c r="E1226" s="17" t="n"/>
    </row>
    <row r="1227">
      <c r="B1227" s="15" t="n"/>
      <c r="C1227" s="16" t="n"/>
      <c r="D1227" s="16" t="n"/>
      <c r="E1227" s="17" t="n"/>
    </row>
    <row r="1228">
      <c r="B1228" s="15" t="n"/>
      <c r="C1228" s="16" t="n"/>
      <c r="D1228" s="16" t="n"/>
      <c r="E1228" s="17" t="n"/>
    </row>
    <row r="1229">
      <c r="B1229" s="15" t="n"/>
      <c r="C1229" s="16" t="n"/>
      <c r="D1229" s="16" t="n"/>
      <c r="E1229" s="17" t="n"/>
    </row>
    <row r="1230">
      <c r="B1230" s="15" t="n"/>
      <c r="C1230" s="16" t="n"/>
      <c r="D1230" s="16" t="n"/>
      <c r="E1230" s="17" t="n"/>
    </row>
    <row r="1231">
      <c r="B1231" s="15" t="n"/>
      <c r="C1231" s="16" t="n"/>
      <c r="D1231" s="16" t="n"/>
      <c r="E1231" s="17" t="n"/>
    </row>
    <row r="1232">
      <c r="B1232" s="15" t="n"/>
      <c r="C1232" s="16" t="n"/>
      <c r="D1232" s="16" t="n"/>
      <c r="E1232" s="17" t="n"/>
    </row>
    <row r="1233">
      <c r="B1233" s="15" t="n"/>
      <c r="C1233" s="16" t="n"/>
      <c r="D1233" s="16" t="n"/>
      <c r="E1233" s="17" t="n"/>
    </row>
    <row r="1234">
      <c r="B1234" s="15" t="n"/>
      <c r="C1234" s="16" t="n"/>
      <c r="D1234" s="16" t="n"/>
      <c r="E1234" s="17" t="n"/>
    </row>
    <row r="1235">
      <c r="B1235" s="15" t="n"/>
      <c r="C1235" s="16" t="n"/>
      <c r="D1235" s="16" t="n"/>
      <c r="E1235" s="17" t="n"/>
    </row>
    <row r="1236">
      <c r="B1236" s="15" t="n"/>
      <c r="C1236" s="16" t="n"/>
      <c r="D1236" s="16" t="n"/>
      <c r="E1236" s="17" t="n"/>
    </row>
    <row r="1237">
      <c r="B1237" s="15" t="n"/>
      <c r="C1237" s="16" t="n"/>
      <c r="D1237" s="16" t="n"/>
      <c r="E1237" s="17" t="n"/>
    </row>
    <row r="1238">
      <c r="B1238" s="15" t="n"/>
      <c r="C1238" s="16" t="n"/>
      <c r="D1238" s="16" t="n"/>
      <c r="E1238" s="17" t="n"/>
    </row>
    <row r="1239">
      <c r="B1239" s="15" t="n"/>
      <c r="C1239" s="16" t="n"/>
      <c r="D1239" s="16" t="n"/>
      <c r="E1239" s="17" t="n"/>
    </row>
    <row r="1240">
      <c r="B1240" s="15" t="n"/>
      <c r="C1240" s="16" t="n"/>
      <c r="D1240" s="16" t="n"/>
      <c r="E1240" s="17" t="n"/>
    </row>
    <row r="1241">
      <c r="B1241" s="15" t="n"/>
      <c r="C1241" s="16" t="n"/>
      <c r="D1241" s="16" t="n"/>
      <c r="E1241" s="17" t="n"/>
    </row>
    <row r="1242">
      <c r="B1242" s="15" t="n"/>
      <c r="C1242" s="16" t="n"/>
      <c r="D1242" s="16" t="n"/>
      <c r="E1242" s="17" t="n"/>
    </row>
    <row r="1243">
      <c r="B1243" s="15" t="n"/>
      <c r="C1243" s="16" t="n"/>
      <c r="D1243" s="16" t="n"/>
      <c r="E1243" s="17" t="n"/>
    </row>
    <row r="1244">
      <c r="B1244" s="15" t="n"/>
      <c r="C1244" s="16" t="n"/>
      <c r="D1244" s="16" t="n"/>
      <c r="E1244" s="17" t="n"/>
    </row>
    <row r="1245">
      <c r="B1245" s="15" t="n"/>
      <c r="C1245" s="16" t="n"/>
      <c r="D1245" s="16" t="n"/>
      <c r="E1245" s="17" t="n"/>
    </row>
    <row r="1246">
      <c r="B1246" s="15" t="n"/>
      <c r="C1246" s="16" t="n"/>
      <c r="D1246" s="16" t="n"/>
      <c r="E1246" s="17" t="n"/>
    </row>
    <row r="1247">
      <c r="B1247" s="15" t="n"/>
      <c r="C1247" s="16" t="n"/>
      <c r="D1247" s="16" t="n"/>
      <c r="E1247" s="17" t="n"/>
    </row>
    <row r="1248">
      <c r="B1248" s="15" t="n"/>
      <c r="C1248" s="16" t="n"/>
      <c r="D1248" s="16" t="n"/>
      <c r="E1248" s="17" t="n"/>
    </row>
    <row r="1249">
      <c r="B1249" s="15" t="n"/>
      <c r="C1249" s="16" t="n"/>
      <c r="D1249" s="16" t="n"/>
      <c r="E1249" s="17" t="n"/>
    </row>
    <row r="1250">
      <c r="B1250" s="15" t="n"/>
      <c r="C1250" s="16" t="n"/>
      <c r="D1250" s="16" t="n"/>
      <c r="E1250" s="17" t="n"/>
    </row>
    <row r="1251">
      <c r="B1251" s="15" t="n"/>
      <c r="C1251" s="16" t="n"/>
      <c r="D1251" s="16" t="n"/>
      <c r="E1251" s="17" t="n"/>
    </row>
    <row r="1252">
      <c r="B1252" s="15" t="n"/>
      <c r="C1252" s="16" t="n"/>
      <c r="D1252" s="16" t="n"/>
      <c r="E1252" s="17" t="n"/>
    </row>
    <row r="1253">
      <c r="B1253" s="15" t="n"/>
      <c r="C1253" s="16" t="n"/>
      <c r="D1253" s="16" t="n"/>
      <c r="E1253" s="17" t="n"/>
    </row>
    <row r="1254">
      <c r="B1254" s="15" t="n"/>
      <c r="C1254" s="16" t="n"/>
      <c r="D1254" s="16" t="n"/>
      <c r="E1254" s="17" t="n"/>
    </row>
    <row r="1255">
      <c r="B1255" s="15" t="n"/>
      <c r="C1255" s="16" t="n"/>
      <c r="D1255" s="16" t="n"/>
      <c r="E1255" s="17" t="n"/>
    </row>
    <row r="1256">
      <c r="B1256" s="15" t="n"/>
      <c r="C1256" s="16" t="n"/>
      <c r="D1256" s="16" t="n"/>
      <c r="E1256" s="17" t="n"/>
    </row>
    <row r="1257">
      <c r="B1257" s="15" t="n"/>
      <c r="C1257" s="16" t="n"/>
      <c r="D1257" s="16" t="n"/>
      <c r="E1257" s="17" t="n"/>
    </row>
    <row r="1258">
      <c r="B1258" s="15" t="n"/>
      <c r="C1258" s="16" t="n"/>
      <c r="D1258" s="16" t="n"/>
      <c r="E1258" s="17" t="n"/>
    </row>
    <row r="1259">
      <c r="B1259" s="15" t="n"/>
      <c r="C1259" s="16" t="n"/>
      <c r="D1259" s="16" t="n"/>
      <c r="E1259" s="17" t="n"/>
    </row>
    <row r="1260">
      <c r="B1260" s="15" t="n"/>
      <c r="C1260" s="16" t="n"/>
      <c r="D1260" s="16" t="n"/>
      <c r="E1260" s="17" t="n"/>
    </row>
    <row r="1261">
      <c r="B1261" s="15" t="n"/>
      <c r="C1261" s="16" t="n"/>
      <c r="D1261" s="16" t="n"/>
      <c r="E1261" s="17" t="n"/>
    </row>
    <row r="1262">
      <c r="B1262" s="15" t="n"/>
      <c r="C1262" s="16" t="n"/>
      <c r="D1262" s="16" t="n"/>
      <c r="E1262" s="17" t="n"/>
    </row>
    <row r="1263">
      <c r="B1263" s="15" t="n"/>
      <c r="C1263" s="16" t="n"/>
      <c r="D1263" s="16" t="n"/>
      <c r="E1263" s="17" t="n"/>
    </row>
    <row r="1264">
      <c r="B1264" s="15" t="n"/>
      <c r="C1264" s="16" t="n"/>
      <c r="D1264" s="16" t="n"/>
      <c r="E1264" s="17" t="n"/>
    </row>
    <row r="1265">
      <c r="B1265" s="15" t="n"/>
      <c r="C1265" s="16" t="n"/>
      <c r="D1265" s="16" t="n"/>
      <c r="E1265" s="17" t="n"/>
    </row>
    <row r="1266">
      <c r="B1266" s="15" t="n"/>
      <c r="C1266" s="16" t="n"/>
      <c r="D1266" s="16" t="n"/>
      <c r="E1266" s="17" t="n"/>
    </row>
    <row r="1267">
      <c r="B1267" s="15" t="n"/>
      <c r="C1267" s="16" t="n"/>
      <c r="D1267" s="16" t="n"/>
      <c r="E1267" s="17" t="n"/>
    </row>
    <row r="1268">
      <c r="B1268" s="15" t="n"/>
      <c r="C1268" s="16" t="n"/>
      <c r="D1268" s="16" t="n"/>
      <c r="E1268" s="17" t="n"/>
    </row>
    <row r="1269">
      <c r="B1269" s="15" t="n"/>
      <c r="C1269" s="16" t="n"/>
      <c r="D1269" s="16" t="n"/>
      <c r="E1269" s="17" t="n"/>
    </row>
    <row r="1270">
      <c r="B1270" s="15" t="n"/>
      <c r="C1270" s="16" t="n"/>
      <c r="D1270" s="16" t="n"/>
      <c r="E1270" s="17" t="n"/>
    </row>
    <row r="1271">
      <c r="B1271" s="15" t="n"/>
      <c r="C1271" s="16" t="n"/>
      <c r="D1271" s="16" t="n"/>
      <c r="E1271" s="17" t="n"/>
    </row>
    <row r="1272">
      <c r="B1272" s="15" t="n"/>
      <c r="C1272" s="16" t="n"/>
      <c r="D1272" s="16" t="n"/>
      <c r="E1272" s="17" t="n"/>
    </row>
    <row r="1273">
      <c r="B1273" s="15" t="n"/>
      <c r="C1273" s="16" t="n"/>
      <c r="D1273" s="16" t="n"/>
      <c r="E1273" s="17" t="n"/>
    </row>
    <row r="1274">
      <c r="B1274" s="15" t="n"/>
      <c r="C1274" s="16" t="n"/>
      <c r="D1274" s="16" t="n"/>
      <c r="E1274" s="17" t="n"/>
    </row>
    <row r="1275">
      <c r="B1275" s="15" t="n"/>
      <c r="C1275" s="16" t="n"/>
      <c r="D1275" s="16" t="n"/>
      <c r="E1275" s="17" t="n"/>
    </row>
    <row r="1276">
      <c r="B1276" s="15" t="n"/>
      <c r="C1276" s="16" t="n"/>
      <c r="D1276" s="16" t="n"/>
      <c r="E1276" s="17" t="n"/>
    </row>
    <row r="1277">
      <c r="B1277" s="15" t="n"/>
      <c r="C1277" s="16" t="n"/>
      <c r="D1277" s="16" t="n"/>
      <c r="E1277" s="17" t="n"/>
    </row>
    <row r="1278">
      <c r="B1278" s="15" t="n"/>
      <c r="C1278" s="16" t="n"/>
      <c r="D1278" s="16" t="n"/>
      <c r="E1278" s="17" t="n"/>
    </row>
    <row r="1279">
      <c r="B1279" s="15" t="n"/>
      <c r="C1279" s="16" t="n"/>
      <c r="D1279" s="16" t="n"/>
      <c r="E1279" s="17" t="n"/>
    </row>
    <row r="1280">
      <c r="B1280" s="15" t="n"/>
      <c r="C1280" s="16" t="n"/>
      <c r="D1280" s="16" t="n"/>
      <c r="E1280" s="17" t="n"/>
    </row>
    <row r="1281">
      <c r="B1281" s="15" t="n"/>
      <c r="C1281" s="16" t="n"/>
      <c r="D1281" s="16" t="n"/>
      <c r="E1281" s="17" t="n"/>
    </row>
    <row r="1282">
      <c r="B1282" s="15" t="n"/>
      <c r="C1282" s="16" t="n"/>
      <c r="D1282" s="16" t="n"/>
      <c r="E1282" s="17" t="n"/>
    </row>
    <row r="1283">
      <c r="B1283" s="15" t="n"/>
      <c r="C1283" s="16" t="n"/>
      <c r="D1283" s="16" t="n"/>
      <c r="E1283" s="17" t="n"/>
    </row>
    <row r="1284">
      <c r="B1284" s="15" t="n"/>
      <c r="C1284" s="16" t="n"/>
      <c r="D1284" s="16" t="n"/>
      <c r="E1284" s="17" t="n"/>
    </row>
    <row r="1285">
      <c r="B1285" s="15" t="n"/>
      <c r="C1285" s="16" t="n"/>
      <c r="D1285" s="16" t="n"/>
      <c r="E1285" s="17" t="n"/>
    </row>
    <row r="1286">
      <c r="B1286" s="15" t="n"/>
      <c r="C1286" s="16" t="n"/>
      <c r="D1286" s="16" t="n"/>
      <c r="E1286" s="17" t="n"/>
    </row>
    <row r="1287">
      <c r="B1287" s="15" t="n"/>
      <c r="C1287" s="16" t="n"/>
      <c r="D1287" s="16" t="n"/>
      <c r="E1287" s="17" t="n"/>
    </row>
    <row r="1288">
      <c r="B1288" s="15" t="n"/>
      <c r="C1288" s="16" t="n"/>
      <c r="D1288" s="16" t="n"/>
      <c r="E1288" s="17" t="n"/>
    </row>
    <row r="1289">
      <c r="B1289" s="15" t="n"/>
      <c r="C1289" s="16" t="n"/>
      <c r="D1289" s="16" t="n"/>
      <c r="E1289" s="17" t="n"/>
    </row>
    <row r="1290">
      <c r="B1290" s="15" t="n"/>
      <c r="C1290" s="16" t="n"/>
      <c r="D1290" s="16" t="n"/>
      <c r="E1290" s="17" t="n"/>
    </row>
    <row r="1291">
      <c r="B1291" s="15" t="n"/>
      <c r="C1291" s="16" t="n"/>
      <c r="D1291" s="16" t="n"/>
      <c r="E1291" s="17" t="n"/>
    </row>
    <row r="1292">
      <c r="B1292" s="15" t="n"/>
      <c r="C1292" s="16" t="n"/>
      <c r="D1292" s="16" t="n"/>
      <c r="E1292" s="17" t="n"/>
    </row>
    <row r="1293">
      <c r="B1293" s="15" t="n"/>
      <c r="C1293" s="16" t="n"/>
      <c r="D1293" s="16" t="n"/>
      <c r="E1293" s="17" t="n"/>
    </row>
    <row r="1294">
      <c r="B1294" s="15" t="n"/>
      <c r="C1294" s="16" t="n"/>
      <c r="D1294" s="16" t="n"/>
      <c r="E1294" s="17" t="n"/>
    </row>
    <row r="1295">
      <c r="B1295" s="15" t="n"/>
      <c r="C1295" s="16" t="n"/>
      <c r="D1295" s="16" t="n"/>
      <c r="E1295" s="17" t="n"/>
    </row>
    <row r="1296">
      <c r="B1296" s="15" t="n"/>
      <c r="C1296" s="16" t="n"/>
      <c r="D1296" s="16" t="n"/>
      <c r="E1296" s="17" t="n"/>
    </row>
    <row r="1297">
      <c r="B1297" s="15" t="n"/>
      <c r="C1297" s="16" t="n"/>
      <c r="D1297" s="16" t="n"/>
      <c r="E1297" s="17" t="n"/>
    </row>
    <row r="1298">
      <c r="B1298" s="15" t="n"/>
      <c r="C1298" s="16" t="n"/>
      <c r="D1298" s="16" t="n"/>
      <c r="E1298" s="17" t="n"/>
    </row>
    <row r="1299">
      <c r="B1299" s="15" t="n"/>
      <c r="C1299" s="16" t="n"/>
      <c r="D1299" s="16" t="n"/>
      <c r="E1299" s="17" t="n"/>
    </row>
    <row r="1300">
      <c r="B1300" s="15" t="n"/>
      <c r="C1300" s="16" t="n"/>
      <c r="D1300" s="16" t="n"/>
      <c r="E1300" s="17" t="n"/>
    </row>
    <row r="1301">
      <c r="B1301" s="15" t="n"/>
      <c r="C1301" s="16" t="n"/>
      <c r="D1301" s="16" t="n"/>
      <c r="E1301" s="17" t="n"/>
    </row>
    <row r="1302">
      <c r="B1302" s="15" t="n"/>
      <c r="C1302" s="16" t="n"/>
      <c r="D1302" s="16" t="n"/>
      <c r="E1302" s="17" t="n"/>
    </row>
    <row r="1303">
      <c r="B1303" s="15" t="n"/>
      <c r="C1303" s="16" t="n"/>
      <c r="D1303" s="16" t="n"/>
      <c r="E1303" s="17" t="n"/>
    </row>
    <row r="1304">
      <c r="B1304" s="15" t="n"/>
      <c r="C1304" s="16" t="n"/>
      <c r="D1304" s="16" t="n"/>
      <c r="E1304" s="17" t="n"/>
    </row>
    <row r="1305">
      <c r="B1305" s="15" t="n"/>
      <c r="C1305" s="16" t="n"/>
      <c r="D1305" s="16" t="n"/>
      <c r="E1305" s="17" t="n"/>
    </row>
    <row r="1306">
      <c r="B1306" s="15" t="n"/>
      <c r="C1306" s="16" t="n"/>
      <c r="D1306" s="16" t="n"/>
      <c r="E1306" s="17" t="n"/>
    </row>
    <row r="1307">
      <c r="B1307" s="15" t="n"/>
      <c r="C1307" s="16" t="n"/>
      <c r="D1307" s="16" t="n"/>
      <c r="E1307" s="17" t="n"/>
    </row>
    <row r="1308">
      <c r="B1308" s="15" t="n"/>
      <c r="C1308" s="16" t="n"/>
      <c r="D1308" s="16" t="n"/>
      <c r="E1308" s="17" t="n"/>
    </row>
    <row r="1309">
      <c r="B1309" s="15" t="n"/>
      <c r="C1309" s="16" t="n"/>
      <c r="D1309" s="16" t="n"/>
      <c r="E1309" s="17" t="n"/>
    </row>
    <row r="1310">
      <c r="B1310" s="15" t="n"/>
      <c r="C1310" s="16" t="n"/>
      <c r="D1310" s="16" t="n"/>
      <c r="E1310" s="17" t="n"/>
    </row>
    <row r="1311">
      <c r="B1311" s="15" t="n"/>
      <c r="C1311" s="16" t="n"/>
      <c r="D1311" s="16" t="n"/>
      <c r="E1311" s="17" t="n"/>
    </row>
    <row r="1312">
      <c r="B1312" s="15" t="n"/>
      <c r="C1312" s="16" t="n"/>
      <c r="D1312" s="16" t="n"/>
      <c r="E1312" s="17" t="n"/>
    </row>
    <row r="1313">
      <c r="B1313" s="15" t="n"/>
      <c r="C1313" s="16" t="n"/>
      <c r="D1313" s="16" t="n"/>
      <c r="E1313" s="17" t="n"/>
    </row>
    <row r="1314">
      <c r="B1314" s="15" t="n"/>
      <c r="C1314" s="16" t="n"/>
      <c r="D1314" s="16" t="n"/>
      <c r="E1314" s="17" t="n"/>
    </row>
    <row r="1315">
      <c r="B1315" s="15" t="n"/>
      <c r="C1315" s="16" t="n"/>
      <c r="D1315" s="16" t="n"/>
      <c r="E1315" s="17" t="n"/>
    </row>
    <row r="1316">
      <c r="B1316" s="15" t="n"/>
      <c r="C1316" s="16" t="n"/>
      <c r="D1316" s="16" t="n"/>
      <c r="E1316" s="17" t="n"/>
    </row>
    <row r="1317">
      <c r="B1317" s="15" t="n"/>
      <c r="C1317" s="16" t="n"/>
      <c r="D1317" s="16" t="n"/>
      <c r="E1317" s="17" t="n"/>
    </row>
    <row r="1318">
      <c r="B1318" s="15" t="n"/>
      <c r="C1318" s="16" t="n"/>
      <c r="D1318" s="16" t="n"/>
      <c r="E1318" s="17" t="n"/>
    </row>
    <row r="1319">
      <c r="B1319" s="15" t="n"/>
      <c r="C1319" s="16" t="n"/>
      <c r="D1319" s="16" t="n"/>
      <c r="E1319" s="17" t="n"/>
    </row>
    <row r="1320">
      <c r="B1320" s="15" t="n"/>
      <c r="C1320" s="16" t="n"/>
      <c r="D1320" s="16" t="n"/>
      <c r="E1320" s="17" t="n"/>
    </row>
    <row r="1321">
      <c r="B1321" s="15" t="n"/>
      <c r="C1321" s="16" t="n"/>
      <c r="D1321" s="16" t="n"/>
      <c r="E1321" s="17" t="n"/>
    </row>
    <row r="1322">
      <c r="B1322" s="15" t="n"/>
      <c r="C1322" s="16" t="n"/>
      <c r="D1322" s="16" t="n"/>
      <c r="E1322" s="17" t="n"/>
    </row>
    <row r="1323">
      <c r="B1323" s="15" t="n"/>
      <c r="C1323" s="16" t="n"/>
      <c r="D1323" s="16" t="n"/>
      <c r="E1323" s="17" t="n"/>
    </row>
    <row r="1324">
      <c r="B1324" s="15" t="n"/>
      <c r="C1324" s="16" t="n"/>
      <c r="D1324" s="16" t="n"/>
      <c r="E1324" s="17" t="n"/>
    </row>
    <row r="1325">
      <c r="B1325" s="15" t="n"/>
      <c r="C1325" s="16" t="n"/>
      <c r="D1325" s="16" t="n"/>
      <c r="E1325" s="17" t="n"/>
    </row>
    <row r="1326">
      <c r="B1326" s="15" t="n"/>
      <c r="C1326" s="16" t="n"/>
      <c r="D1326" s="16" t="n"/>
      <c r="E1326" s="17" t="n"/>
    </row>
    <row r="1327">
      <c r="B1327" s="15" t="n"/>
      <c r="C1327" s="16" t="n"/>
      <c r="D1327" s="16" t="n"/>
      <c r="E1327" s="17" t="n"/>
    </row>
    <row r="1328">
      <c r="B1328" s="15" t="n"/>
      <c r="C1328" s="16" t="n"/>
      <c r="D1328" s="16" t="n"/>
      <c r="E1328" s="17" t="n"/>
    </row>
    <row r="1329">
      <c r="B1329" s="12" t="n"/>
      <c r="C1329" s="13" t="n"/>
      <c r="D1329" s="13" t="n"/>
      <c r="E1329" s="14" t="n"/>
    </row>
    <row r="1330">
      <c r="A1330" t="inlineStr">
        <is>
          <t>الأسبوع الأول /  شوال - 1447</t>
        </is>
      </c>
      <c r="B1330" t="inlineStr">
        <is>
          <t>صسشيشسبيشسثسشيبلسيليبلسثقفغ قغ قثا</t>
        </is>
      </c>
      <c r="C1330" t="inlineStr">
        <is>
          <t>آدم</t>
        </is>
      </c>
      <c r="D1330" t="inlineStr">
        <is>
          <t>تجديد</t>
        </is>
      </c>
    </row>
  </sheetData>
  <conditionalFormatting sqref="E3:E1329">
    <cfRule type="cellIs" priority="1" operator="equal" dxfId="2">
      <formula>"تجديد"</formula>
    </cfRule>
    <cfRule type="cellIs" priority="2" operator="equal" dxfId="4">
      <formula>"تم"</formula>
    </cfRule>
    <cfRule type="cellIs" priority="3" operator="equal" dxfId="3">
      <formula>"إلغاء"</formula>
    </cfRule>
  </conditionalFormatting>
  <conditionalFormatting sqref="I3:I9">
    <cfRule type="colorScale" priority="8">
      <colorScale>
        <cfvo type="min"/>
        <cfvo type="max"/>
        <color rgb="FFFCFCFF"/>
        <color rgb="FF63BE7B"/>
      </colorScale>
    </cfRule>
    <cfRule type="colorScale" priority="26">
      <colorScale>
        <cfvo type="min"/>
        <cfvo type="percentile" val="50"/>
        <cfvo type="max"/>
        <color rgb="FFF8696B"/>
        <color rgb="FFFFEB84"/>
        <color rgb="FF63BE7B"/>
      </colorScale>
    </cfRule>
  </conditionalFormatting>
  <conditionalFormatting sqref="J3:J9">
    <cfRule type="colorScale" priority="7">
      <colorScale>
        <cfvo type="min"/>
        <cfvo type="percentile" val="50"/>
        <cfvo type="max"/>
        <color rgb="FFF8696B"/>
        <color rgb="FFFFEB84"/>
        <color rgb="FF63BE7B"/>
      </colorScale>
    </cfRule>
  </conditionalFormatting>
  <dataValidations count="1">
    <dataValidation sqref="E3:E1329" showDropDown="0" showInputMessage="1" showErrorMessage="1" allowBlank="1" type="list">
      <formula1>"تم, تجديد, إلغاء"</formula1>
    </dataValidation>
  </dataValidations>
  <pageMargins left="0.7" right="0.7" top="0.75" bottom="0.75" header="0.3" footer="0.3"/>
  <headerFooter>
    <oddHeader/>
    <oddFooter>&amp;L&amp;"Aptos"&amp;7 &amp;K000000_x000d_# C2 General</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xl/worksheets/sheet4.xml><?xml version="1.0" encoding="utf-8"?>
<worksheet xmlns="http://schemas.openxmlformats.org/spreadsheetml/2006/main">
  <sheetPr filterMode="1">
    <outlinePr summaryBelow="1" summaryRight="1"/>
    <pageSetUpPr/>
  </sheetPr>
  <dimension ref="A1:K30"/>
  <sheetViews>
    <sheetView workbookViewId="0">
      <selection activeCell="C8" sqref="C8:C12"/>
    </sheetView>
  </sheetViews>
  <sheetFormatPr baseColWidth="8" defaultRowHeight="13.5" outlineLevelCol="0"/>
  <cols>
    <col width="27.28515625" customWidth="1" style="60" min="1" max="1"/>
    <col width="9.28515625" customWidth="1" style="60" min="2" max="2"/>
    <col width="25.85546875" customWidth="1" style="60" min="3" max="11"/>
    <col width="9.140625" customWidth="1" style="60" min="12" max="16384"/>
  </cols>
  <sheetData>
    <row r="1" ht="18.75" customHeight="1">
      <c r="A1" s="55" t="inlineStr">
        <is>
          <t>الهدف</t>
        </is>
      </c>
      <c r="B1" s="56" t="inlineStr">
        <is>
          <t>التشريح</t>
        </is>
      </c>
      <c r="C1" s="57" t="inlineStr">
        <is>
          <t xml:space="preserve">المهمة </t>
        </is>
      </c>
      <c r="D1" s="56" t="inlineStr">
        <is>
          <t>الشهر</t>
        </is>
      </c>
      <c r="E1" s="56" t="inlineStr">
        <is>
          <t>الأسبوع</t>
        </is>
      </c>
      <c r="F1" s="56" t="inlineStr">
        <is>
          <t>المراكز المشاركة</t>
        </is>
      </c>
      <c r="G1" s="56" t="inlineStr">
        <is>
          <t>الملف</t>
        </is>
      </c>
      <c r="H1" s="56" t="inlineStr">
        <is>
          <t>حالة التنفيذ</t>
        </is>
      </c>
      <c r="I1" s="58" t="inlineStr">
        <is>
          <t>نسبة تحقيق المستهدف
إن وجد</t>
        </is>
      </c>
      <c r="J1" s="56" t="inlineStr">
        <is>
          <t>المخرج</t>
        </is>
      </c>
      <c r="K1" s="59" t="inlineStr">
        <is>
          <t>ملاحظات</t>
        </is>
      </c>
    </row>
    <row r="2" ht="37.5" customHeight="1">
      <c r="A2" s="61" t="inlineStr">
        <is>
          <t>تحقيق الإنتشار الدعوي عبر الملفات</t>
        </is>
      </c>
      <c r="B2" s="62" t="inlineStr">
        <is>
          <t>أ</t>
        </is>
      </c>
      <c r="C2" s="61" t="inlineStr">
        <is>
          <t>عمل زيارة رسمية (تهنئة بعيد الأضحى )</t>
        </is>
      </c>
      <c r="D2" s="62" t="inlineStr">
        <is>
          <t>05 ذو الحجة - يونيو</t>
        </is>
      </c>
      <c r="E2" s="62" t="inlineStr">
        <is>
          <t>الأسبوع الرابع</t>
        </is>
      </c>
      <c r="F2" s="62" t="inlineStr">
        <is>
          <t>شبرا</t>
        </is>
      </c>
      <c r="G2" s="62" t="inlineStr">
        <is>
          <t>الحزب</t>
        </is>
      </c>
      <c r="H2" s="62" t="inlineStr">
        <is>
          <t>لم يتم</t>
        </is>
      </c>
      <c r="I2" s="63" t="n"/>
      <c r="J2" s="62" t="inlineStr">
        <is>
          <t>انتشار مجتمعي</t>
        </is>
      </c>
      <c r="K2" s="64" t="inlineStr">
        <is>
          <t xml:space="preserve">تكرر مرة كل شهر </t>
        </is>
      </c>
    </row>
    <row r="3" ht="37.5" customHeight="1">
      <c r="A3" s="65" t="inlineStr">
        <is>
          <t>تحقيق الإنتشار الدعوي عبر الملفات</t>
        </is>
      </c>
      <c r="B3" s="66" t="inlineStr">
        <is>
          <t>أ</t>
        </is>
      </c>
      <c r="C3" s="65" t="inlineStr">
        <is>
          <t>تنفيذ 6 جولات ميدانية شهريا ( جولة بكل قطاع )</t>
        </is>
      </c>
      <c r="D3" s="66" t="inlineStr">
        <is>
          <t>05 ذو الحجة - يونيو</t>
        </is>
      </c>
      <c r="E3" s="66" t="inlineStr">
        <is>
          <t>الأسبوع الرابع</t>
        </is>
      </c>
      <c r="F3" s="66" t="inlineStr">
        <is>
          <t>شبرا</t>
        </is>
      </c>
      <c r="G3" s="66" t="inlineStr">
        <is>
          <t>الحزب</t>
        </is>
      </c>
      <c r="H3" s="66" t="inlineStr">
        <is>
          <t>لم يتم</t>
        </is>
      </c>
      <c r="I3" s="67" t="n"/>
      <c r="J3" s="66" t="inlineStr">
        <is>
          <t>انتشار مجتمعي</t>
        </is>
      </c>
      <c r="K3" s="68" t="inlineStr">
        <is>
          <t xml:space="preserve">تكرر مرة كل شهر </t>
        </is>
      </c>
    </row>
    <row r="4" ht="37.5" customHeight="1">
      <c r="A4" s="61" t="inlineStr">
        <is>
          <t>تحقيق الإنتشار الدعوي عبر الملفات</t>
        </is>
      </c>
      <c r="B4" s="62" t="inlineStr">
        <is>
          <t>أ</t>
        </is>
      </c>
      <c r="C4" s="61" t="inlineStr">
        <is>
          <t xml:space="preserve">عمل مراجعات نهائية للشهادة الإعدادية </t>
        </is>
      </c>
      <c r="D4" s="62" t="inlineStr">
        <is>
          <t>05 ذو الحجة - يونيو</t>
        </is>
      </c>
      <c r="E4" s="62" t="inlineStr">
        <is>
          <t>الأسبوع الرابع</t>
        </is>
      </c>
      <c r="F4" s="62" t="inlineStr">
        <is>
          <t>شبرا</t>
        </is>
      </c>
      <c r="G4" s="62" t="inlineStr">
        <is>
          <t>الحزب</t>
        </is>
      </c>
      <c r="H4" s="62" t="inlineStr">
        <is>
          <t>لم يتم</t>
        </is>
      </c>
      <c r="I4" s="63" t="n"/>
      <c r="J4" s="62" t="inlineStr">
        <is>
          <t>انتشار مجتمعي</t>
        </is>
      </c>
      <c r="K4" s="64" t="n"/>
    </row>
    <row r="5" ht="37.5" customHeight="1">
      <c r="A5" s="65" t="inlineStr">
        <is>
          <t>تحقيق الإنتشار الدعوي عبر الملفات</t>
        </is>
      </c>
      <c r="B5" s="66" t="inlineStr">
        <is>
          <t>أ</t>
        </is>
      </c>
      <c r="C5" s="65" t="inlineStr">
        <is>
          <t xml:space="preserve">عمل مراجعات نهائية اون لاين للشهادة الإعدادية </t>
        </is>
      </c>
      <c r="D5" s="66" t="inlineStr">
        <is>
          <t>05 ذو الحجة - يونيو</t>
        </is>
      </c>
      <c r="E5" s="66" t="inlineStr">
        <is>
          <t>الأسبوع الرابع</t>
        </is>
      </c>
      <c r="F5" s="66" t="inlineStr">
        <is>
          <t>شبرا</t>
        </is>
      </c>
      <c r="G5" s="66" t="inlineStr">
        <is>
          <t>الحزب</t>
        </is>
      </c>
      <c r="H5" s="66" t="inlineStr">
        <is>
          <t>لم يتم</t>
        </is>
      </c>
      <c r="I5" s="67" t="n"/>
      <c r="J5" s="66" t="inlineStr">
        <is>
          <t>انتشار مجتمعي</t>
        </is>
      </c>
      <c r="K5" s="68" t="n"/>
    </row>
    <row r="6" ht="37.5" customHeight="1">
      <c r="A6" s="61" t="inlineStr">
        <is>
          <t>تحقيق الإنتشار الدعوي عبر الملفات</t>
        </is>
      </c>
      <c r="B6" s="62" t="inlineStr">
        <is>
          <t>أ</t>
        </is>
      </c>
      <c r="C6" s="61" t="inlineStr">
        <is>
          <t xml:space="preserve">توزيع هدايا في صلاة العيد بدون اسم الحزب خارج المصلى </t>
        </is>
      </c>
      <c r="D6" s="62" t="inlineStr">
        <is>
          <t>05 ذو الحجة - يونيو</t>
        </is>
      </c>
      <c r="E6" s="62" t="inlineStr">
        <is>
          <t>الأسبوع الرابع</t>
        </is>
      </c>
      <c r="F6" s="62" t="inlineStr">
        <is>
          <t>شبرا</t>
        </is>
      </c>
      <c r="G6" s="62" t="inlineStr">
        <is>
          <t>الحزب</t>
        </is>
      </c>
      <c r="H6" s="62" t="inlineStr">
        <is>
          <t>تم</t>
        </is>
      </c>
      <c r="I6" s="63" t="n"/>
      <c r="J6" s="62" t="inlineStr">
        <is>
          <t>انتشار مجتمعي</t>
        </is>
      </c>
      <c r="K6" s="64" t="n"/>
    </row>
    <row r="7" ht="56.25" customHeight="1">
      <c r="A7" s="65" t="inlineStr">
        <is>
          <t>تحقيق الإنتشار الدعوي عبر الملفات</t>
        </is>
      </c>
      <c r="B7" s="66" t="inlineStr">
        <is>
          <t>أ</t>
        </is>
      </c>
      <c r="C7" s="65" t="inlineStr">
        <is>
          <t xml:space="preserve">زيارة لمستشفى بعد صلاة العيد مباشرة وتوزيع هدايا للمرضى والعاملين بالمستشفى </t>
        </is>
      </c>
      <c r="D7" s="66" t="inlineStr">
        <is>
          <t>05 ذو الحجة - يونيو</t>
        </is>
      </c>
      <c r="E7" s="66" t="inlineStr">
        <is>
          <t>الأسبوع الرابع</t>
        </is>
      </c>
      <c r="F7" s="66" t="inlineStr">
        <is>
          <t>شبرا</t>
        </is>
      </c>
      <c r="G7" s="66" t="inlineStr">
        <is>
          <t>الحزب</t>
        </is>
      </c>
      <c r="H7" s="66" t="inlineStr">
        <is>
          <t>لم يتم</t>
        </is>
      </c>
      <c r="I7" s="67" t="n"/>
      <c r="J7" s="66" t="inlineStr">
        <is>
          <t>انتشار مجتمعي</t>
        </is>
      </c>
      <c r="K7" s="68" t="n"/>
    </row>
    <row r="8" ht="56.25" customHeight="1">
      <c r="A8" s="61" t="inlineStr">
        <is>
          <t>التحصين الفكري المستمر لجميع الإخوة والأخوات فيما يخص قضايا الدعوة المميزةِ والقضايا المستجدة</t>
        </is>
      </c>
      <c r="B8" s="62" t="inlineStr">
        <is>
          <t>أ</t>
        </is>
      </c>
      <c r="C8" s="61" t="inlineStr">
        <is>
          <t>عمل دورة اليوم الواحد عن العمل السياسي (صالون ثقافي لعموم الشباب)</t>
        </is>
      </c>
      <c r="D8" s="62" t="inlineStr">
        <is>
          <t>06 محرم - يوليو</t>
        </is>
      </c>
      <c r="E8" s="62" t="inlineStr">
        <is>
          <t>الأسبوع الأول</t>
        </is>
      </c>
      <c r="F8" s="62" t="inlineStr">
        <is>
          <t>شبرا</t>
        </is>
      </c>
      <c r="G8" s="62" t="inlineStr">
        <is>
          <t>الحزب</t>
        </is>
      </c>
      <c r="H8" s="62" t="n"/>
      <c r="I8" s="69" t="n"/>
      <c r="J8" s="62" t="inlineStr">
        <is>
          <t>ملتقى علمي</t>
        </is>
      </c>
      <c r="K8" s="64" t="inlineStr">
        <is>
          <t>مرتين فى السنة</t>
        </is>
      </c>
    </row>
    <row r="9" ht="37.5" customHeight="1">
      <c r="A9" s="65" t="inlineStr">
        <is>
          <t>تحقيق الإنتشار الدعوي عبر الملفات</t>
        </is>
      </c>
      <c r="B9" s="66" t="inlineStr">
        <is>
          <t>أ</t>
        </is>
      </c>
      <c r="C9" s="65" t="inlineStr">
        <is>
          <t xml:space="preserve">عمل مراجعات نهائية للثانوية العامة والازهرية </t>
        </is>
      </c>
      <c r="D9" s="66" t="inlineStr">
        <is>
          <t>06 محرم - يوليو</t>
        </is>
      </c>
      <c r="E9" s="66" t="inlineStr">
        <is>
          <t>الأسبوع الرابع</t>
        </is>
      </c>
      <c r="F9" s="66" t="inlineStr">
        <is>
          <t>شبرا</t>
        </is>
      </c>
      <c r="G9" s="66" t="inlineStr">
        <is>
          <t>الحزب</t>
        </is>
      </c>
      <c r="H9" s="66" t="n"/>
      <c r="I9" s="70" t="n"/>
      <c r="J9" s="66" t="inlineStr">
        <is>
          <t>انتشار مجتمعي</t>
        </is>
      </c>
      <c r="K9" s="68" t="n"/>
    </row>
    <row r="10" ht="37.5" customHeight="1">
      <c r="A10" s="61" t="inlineStr">
        <is>
          <t>تحقيق الإنتشار الدعوي عبر الملفات</t>
        </is>
      </c>
      <c r="B10" s="62" t="inlineStr">
        <is>
          <t>أ</t>
        </is>
      </c>
      <c r="C10" s="61" t="inlineStr">
        <is>
          <t>عمل مراجعات نهائية اون لاين للثانوية العامة والازهرية</t>
        </is>
      </c>
      <c r="D10" s="62" t="inlineStr">
        <is>
          <t>06 محرم - يوليو</t>
        </is>
      </c>
      <c r="E10" s="62" t="inlineStr">
        <is>
          <t>الأسبوع الرابع</t>
        </is>
      </c>
      <c r="F10" s="62" t="inlineStr">
        <is>
          <t>شبرا</t>
        </is>
      </c>
      <c r="G10" s="62" t="inlineStr">
        <is>
          <t>الحزب</t>
        </is>
      </c>
      <c r="H10" s="62" t="n"/>
      <c r="I10" s="69" t="n"/>
      <c r="J10" s="62" t="inlineStr">
        <is>
          <t>انتشار مجتمعي</t>
        </is>
      </c>
      <c r="K10" s="64" t="n"/>
    </row>
    <row r="11" ht="37.5" customHeight="1">
      <c r="A11" s="65" t="inlineStr">
        <is>
          <t>تحقيق الإنتشار الدعوي عبر الملفات</t>
        </is>
      </c>
      <c r="B11" s="66" t="inlineStr">
        <is>
          <t>أ</t>
        </is>
      </c>
      <c r="C11" s="65" t="inlineStr">
        <is>
          <t>عمل زيارة رسمية (تهنئة بالعام الهجري الجديد )</t>
        </is>
      </c>
      <c r="D11" s="66" t="inlineStr">
        <is>
          <t>06 محرم - يوليو</t>
        </is>
      </c>
      <c r="E11" s="66" t="inlineStr">
        <is>
          <t>الأسبوع الرابع</t>
        </is>
      </c>
      <c r="F11" s="66" t="inlineStr">
        <is>
          <t>شبرا</t>
        </is>
      </c>
      <c r="G11" s="66" t="inlineStr">
        <is>
          <t>الحزب</t>
        </is>
      </c>
      <c r="H11" s="66" t="n"/>
      <c r="I11" s="70" t="n"/>
      <c r="J11" s="66" t="inlineStr">
        <is>
          <t>انتشار مجتمعي</t>
        </is>
      </c>
      <c r="K11" s="68" t="inlineStr">
        <is>
          <t xml:space="preserve">تكرر مرة كل شهر </t>
        </is>
      </c>
    </row>
    <row r="12" ht="37.5" customHeight="1">
      <c r="A12" s="61" t="inlineStr">
        <is>
          <t>تحقيق الإنتشار الدعوي عبر الملفات</t>
        </is>
      </c>
      <c r="B12" s="62" t="inlineStr">
        <is>
          <t>أ</t>
        </is>
      </c>
      <c r="C12" s="61" t="inlineStr">
        <is>
          <t>تنفيذ 6 جولات ميدانية شهريا ( جولة بكل قطاع )</t>
        </is>
      </c>
      <c r="D12" s="62" t="inlineStr">
        <is>
          <t>06 محرم - يوليو</t>
        </is>
      </c>
      <c r="E12" s="62" t="inlineStr">
        <is>
          <t>الأسبوع الرابع</t>
        </is>
      </c>
      <c r="F12" s="62" t="inlineStr">
        <is>
          <t>شبرا</t>
        </is>
      </c>
      <c r="G12" s="62" t="inlineStr">
        <is>
          <t>الحزب</t>
        </is>
      </c>
      <c r="H12" s="62" t="n"/>
      <c r="I12" s="69" t="n"/>
      <c r="J12" s="62" t="inlineStr">
        <is>
          <t>انتشار مجتمعي</t>
        </is>
      </c>
      <c r="K12" s="64" t="inlineStr">
        <is>
          <t xml:space="preserve">تكرر مرة كل شهر </t>
        </is>
      </c>
    </row>
    <row r="13" hidden="1" ht="18.75" customHeight="1">
      <c r="A13" s="65" t="inlineStr">
        <is>
          <t>تحقيق الإنتشار الدعوي عبر الملفات</t>
        </is>
      </c>
      <c r="B13" s="66" t="inlineStr">
        <is>
          <t>أ</t>
        </is>
      </c>
      <c r="C13" s="65" t="inlineStr">
        <is>
          <t xml:space="preserve">تنسيق فاعلية اعرف كليتك </t>
        </is>
      </c>
      <c r="D13" s="66" t="inlineStr">
        <is>
          <t>07 صفر - أغسطس</t>
        </is>
      </c>
      <c r="E13" s="66" t="inlineStr">
        <is>
          <t>الأسبوع الأول</t>
        </is>
      </c>
      <c r="F13" s="66" t="inlineStr">
        <is>
          <t>شبرا</t>
        </is>
      </c>
      <c r="G13" s="66" t="inlineStr">
        <is>
          <t>الحزب</t>
        </is>
      </c>
      <c r="H13" s="66" t="n"/>
      <c r="I13" s="67" t="n"/>
      <c r="J13" s="66" t="inlineStr">
        <is>
          <t>انتشار مجتمعي</t>
        </is>
      </c>
      <c r="K13" s="68" t="inlineStr">
        <is>
          <t>مرة واحدة فى السنة</t>
        </is>
      </c>
    </row>
    <row r="14" hidden="1" ht="18.75" customHeight="1">
      <c r="A14" s="61" t="inlineStr">
        <is>
          <t>تحقيق الإنتشار الدعوي عبر الملفات</t>
        </is>
      </c>
      <c r="B14" s="62" t="inlineStr">
        <is>
          <t>أ</t>
        </is>
      </c>
      <c r="C14" s="61" t="inlineStr">
        <is>
          <t xml:space="preserve">تنسيق فاعلية اعرف كليتك </t>
        </is>
      </c>
      <c r="D14" s="62" t="inlineStr">
        <is>
          <t>07 صفر - أغسطس</t>
        </is>
      </c>
      <c r="E14" s="62" t="inlineStr">
        <is>
          <t>الأسبوع الأول</t>
        </is>
      </c>
      <c r="F14" s="62" t="inlineStr">
        <is>
          <t>شبرا</t>
        </is>
      </c>
      <c r="G14" s="62" t="inlineStr">
        <is>
          <t>الحزب</t>
        </is>
      </c>
      <c r="H14" s="62" t="n"/>
      <c r="I14" s="69" t="n"/>
      <c r="J14" s="62" t="inlineStr">
        <is>
          <t>انتشار مجتمعي</t>
        </is>
      </c>
      <c r="K14" s="64" t="inlineStr">
        <is>
          <t>مرة واحدة فى السنة</t>
        </is>
      </c>
    </row>
    <row r="15" hidden="1" ht="37.5" customHeight="1">
      <c r="A15" s="65" t="inlineStr">
        <is>
          <t>تحقيق الإنتشار الدعوي عبر الملفات</t>
        </is>
      </c>
      <c r="B15" s="66" t="inlineStr">
        <is>
          <t>أ</t>
        </is>
      </c>
      <c r="C15" s="65" t="inlineStr">
        <is>
          <t>تنفيذ 6 جولات ميدانية شهريا ( جولة بكل قطاع )</t>
        </is>
      </c>
      <c r="D15" s="66" t="inlineStr">
        <is>
          <t>07 صفر - أغسطس</t>
        </is>
      </c>
      <c r="E15" s="66" t="inlineStr">
        <is>
          <t>الأسبوع الرابع</t>
        </is>
      </c>
      <c r="F15" s="66" t="inlineStr">
        <is>
          <t>شبرا</t>
        </is>
      </c>
      <c r="G15" s="66" t="inlineStr">
        <is>
          <t>الحزب</t>
        </is>
      </c>
      <c r="H15" s="66" t="n"/>
      <c r="I15" s="70" t="n"/>
      <c r="J15" s="66" t="inlineStr">
        <is>
          <t>انتشار مجتمعي</t>
        </is>
      </c>
      <c r="K15" s="68" t="inlineStr">
        <is>
          <t xml:space="preserve">تكرر مرة كل شهر </t>
        </is>
      </c>
    </row>
    <row r="16" hidden="1" ht="37.5" customHeight="1">
      <c r="A16" s="61" t="inlineStr">
        <is>
          <t>تحقيق الإنتشار الدعوي عبر الملفات</t>
        </is>
      </c>
      <c r="B16" s="62" t="inlineStr">
        <is>
          <t>أ</t>
        </is>
      </c>
      <c r="C16" s="61" t="inlineStr">
        <is>
          <t xml:space="preserve">جلسة مفتوحة لفريق عمل الحزب بالمركز </t>
        </is>
      </c>
      <c r="D16" s="62" t="inlineStr">
        <is>
          <t>07 صفر - أغسطس</t>
        </is>
      </c>
      <c r="E16" s="62" t="inlineStr">
        <is>
          <t>الأسبوع الرابع</t>
        </is>
      </c>
      <c r="F16" s="62" t="inlineStr">
        <is>
          <t>شبرا</t>
        </is>
      </c>
      <c r="G16" s="62" t="inlineStr">
        <is>
          <t>الحزب</t>
        </is>
      </c>
      <c r="H16" s="62" t="n"/>
      <c r="I16" s="69" t="n"/>
      <c r="J16" s="62" t="inlineStr">
        <is>
          <t>انتشار مجتمعي</t>
        </is>
      </c>
      <c r="K16" s="64" t="n"/>
    </row>
    <row r="17" hidden="1" ht="37.5" customHeight="1">
      <c r="A17" s="65" t="inlineStr">
        <is>
          <t>تحقيق الإنتشار الدعوي عبر الملفات</t>
        </is>
      </c>
      <c r="B17" s="66" t="inlineStr">
        <is>
          <t>أ</t>
        </is>
      </c>
      <c r="C17" s="65" t="inlineStr">
        <is>
          <t>دورة تدريبية (تستهدف الرجال والنساء )</t>
        </is>
      </c>
      <c r="D17" s="66" t="inlineStr">
        <is>
          <t>07 صفر - أغسطس</t>
        </is>
      </c>
      <c r="E17" s="66" t="inlineStr">
        <is>
          <t>الأسبوع الرابع</t>
        </is>
      </c>
      <c r="F17" s="66" t="inlineStr">
        <is>
          <t>شبرا</t>
        </is>
      </c>
      <c r="G17" s="66" t="inlineStr">
        <is>
          <t>الحزب</t>
        </is>
      </c>
      <c r="H17" s="66" t="n"/>
      <c r="I17" s="70" t="n"/>
      <c r="J17" s="66" t="inlineStr">
        <is>
          <t>انتشار مجتمعي</t>
        </is>
      </c>
      <c r="K17" s="68" t="n"/>
    </row>
    <row r="18" hidden="1" ht="18.75" customHeight="1">
      <c r="A18" s="61" t="inlineStr">
        <is>
          <t>تحقيق الإنتشار الدعوي عبر الملفات</t>
        </is>
      </c>
      <c r="B18" s="62" t="inlineStr">
        <is>
          <t>أ</t>
        </is>
      </c>
      <c r="C18" s="61" t="inlineStr">
        <is>
          <t xml:space="preserve">اقامة معرض الادوات المدرسية </t>
        </is>
      </c>
      <c r="D18" s="62" t="inlineStr">
        <is>
          <t>08 ربيع الأول - سبتمبر</t>
        </is>
      </c>
      <c r="E18" s="62" t="inlineStr">
        <is>
          <t>الأسبوع الأول</t>
        </is>
      </c>
      <c r="F18" s="62" t="inlineStr">
        <is>
          <t>شبرا</t>
        </is>
      </c>
      <c r="G18" s="62" t="inlineStr">
        <is>
          <t>الحزب</t>
        </is>
      </c>
      <c r="H18" s="62" t="n"/>
      <c r="I18" s="69" t="n"/>
      <c r="J18" s="62" t="inlineStr">
        <is>
          <t>انتشار مجتمعي</t>
        </is>
      </c>
      <c r="K18" s="64" t="inlineStr">
        <is>
          <t>مرة واحدة فى السنة</t>
        </is>
      </c>
    </row>
    <row r="19" hidden="1" ht="37.5" customHeight="1">
      <c r="A19" s="65" t="inlineStr">
        <is>
          <t>تحقيق الإنتشار الدعوي عبر الملفات</t>
        </is>
      </c>
      <c r="B19" s="66" t="inlineStr">
        <is>
          <t>أ</t>
        </is>
      </c>
      <c r="C19" s="65" t="inlineStr">
        <is>
          <t>تنفيذ 6 جولات ميدانية شهريا ( جولة بكل قطاع )</t>
        </is>
      </c>
      <c r="D19" s="66" t="inlineStr">
        <is>
          <t>08 ربيع الأول - سبتمبر</t>
        </is>
      </c>
      <c r="E19" s="66" t="inlineStr">
        <is>
          <t>الأسبوع الرابع</t>
        </is>
      </c>
      <c r="F19" s="66" t="inlineStr">
        <is>
          <t>شبرا</t>
        </is>
      </c>
      <c r="G19" s="66" t="inlineStr">
        <is>
          <t>الحزب</t>
        </is>
      </c>
      <c r="H19" s="66" t="n"/>
      <c r="I19" s="70" t="n"/>
      <c r="J19" s="66" t="inlineStr">
        <is>
          <t>انتشار مجتمعي</t>
        </is>
      </c>
      <c r="K19" s="68" t="inlineStr">
        <is>
          <t xml:space="preserve">تكرر مرة كل شهر </t>
        </is>
      </c>
    </row>
    <row r="20" hidden="1" ht="18.75" customHeight="1">
      <c r="A20" s="61" t="inlineStr">
        <is>
          <t>تحقيق الإنتشار الدعوي عبر الملفات</t>
        </is>
      </c>
      <c r="B20" s="62" t="inlineStr">
        <is>
          <t>أ</t>
        </is>
      </c>
      <c r="C20" s="61" t="inlineStr">
        <is>
          <t xml:space="preserve">ترتيب قافلة طبية </t>
        </is>
      </c>
      <c r="D20" s="62" t="inlineStr">
        <is>
          <t>09 ربيع الثاني - اكتوبر</t>
        </is>
      </c>
      <c r="E20" s="62" t="inlineStr">
        <is>
          <t>الأسبوع الأول</t>
        </is>
      </c>
      <c r="F20" s="62" t="inlineStr">
        <is>
          <t>شبرا</t>
        </is>
      </c>
      <c r="G20" s="62" t="inlineStr">
        <is>
          <t>الحزب</t>
        </is>
      </c>
      <c r="H20" s="62" t="n"/>
      <c r="I20" s="69" t="n"/>
      <c r="J20" s="62" t="inlineStr">
        <is>
          <t>انتشار مجتمعي</t>
        </is>
      </c>
      <c r="K20" s="64" t="inlineStr">
        <is>
          <t>مرة واحدة فى السنة</t>
        </is>
      </c>
    </row>
    <row r="21" hidden="1" ht="18.75" customHeight="1">
      <c r="A21" s="65" t="inlineStr">
        <is>
          <t>تحقيق الإنتشار الدعوي عبر الملفات</t>
        </is>
      </c>
      <c r="B21" s="66" t="inlineStr">
        <is>
          <t>أ</t>
        </is>
      </c>
      <c r="C21" s="65" t="inlineStr">
        <is>
          <t>عمل زيارة رسمية (تهنئة 6 أكتوبر)</t>
        </is>
      </c>
      <c r="D21" s="66" t="inlineStr">
        <is>
          <t>09 ربيع الثاني - اكتوبر</t>
        </is>
      </c>
      <c r="E21" s="66" t="inlineStr">
        <is>
          <t>الأسبوع الرابع</t>
        </is>
      </c>
      <c r="F21" s="66" t="inlineStr">
        <is>
          <t>شبرا</t>
        </is>
      </c>
      <c r="G21" s="66" t="inlineStr">
        <is>
          <t>الحزب</t>
        </is>
      </c>
      <c r="H21" s="66" t="n"/>
      <c r="I21" s="70" t="n"/>
      <c r="J21" s="66" t="inlineStr">
        <is>
          <t>انتشار مجتمعي</t>
        </is>
      </c>
      <c r="K21" s="68" t="inlineStr">
        <is>
          <t xml:space="preserve">تكرر مرة كل شهر </t>
        </is>
      </c>
    </row>
    <row r="22" hidden="1" ht="37.5" customHeight="1">
      <c r="A22" s="61" t="inlineStr">
        <is>
          <t>تحقيق الإنتشار الدعوي عبر الملفات</t>
        </is>
      </c>
      <c r="B22" s="62" t="inlineStr">
        <is>
          <t>أ</t>
        </is>
      </c>
      <c r="C22" s="61" t="inlineStr">
        <is>
          <t>تنفيذ 6 جولات ميدانية شهريا ( جولة بكل قطاع )</t>
        </is>
      </c>
      <c r="D22" s="62" t="inlineStr">
        <is>
          <t>09 ربيع الثاني - اكتوبر</t>
        </is>
      </c>
      <c r="E22" s="62" t="inlineStr">
        <is>
          <t>الأسبوع الرابع</t>
        </is>
      </c>
      <c r="F22" s="62" t="inlineStr">
        <is>
          <t>شبرا</t>
        </is>
      </c>
      <c r="G22" s="62" t="inlineStr">
        <is>
          <t>الحزب</t>
        </is>
      </c>
      <c r="H22" s="62" t="n"/>
      <c r="I22" s="69" t="n"/>
      <c r="J22" s="62" t="inlineStr">
        <is>
          <t>انتشار مجتمعي</t>
        </is>
      </c>
      <c r="K22" s="64" t="inlineStr">
        <is>
          <t xml:space="preserve">تكرر مرة كل شهر </t>
        </is>
      </c>
    </row>
    <row r="23" hidden="1" ht="37.5" customHeight="1">
      <c r="A23" s="65" t="inlineStr">
        <is>
          <t>تحقيق الإنتشار الدعوي عبر الملفات</t>
        </is>
      </c>
      <c r="B23" s="66" t="inlineStr">
        <is>
          <t>أ</t>
        </is>
      </c>
      <c r="C23" s="65" t="inlineStr">
        <is>
          <t>دورة تدريبية  ( إدارة الوقت ) تستهدف كل فئات الشباب</t>
        </is>
      </c>
      <c r="D23" s="66" t="inlineStr">
        <is>
          <t>09 ربيع الثاني - اكتوبر</t>
        </is>
      </c>
      <c r="E23" s="66" t="inlineStr">
        <is>
          <t>الأسبوع الرابع</t>
        </is>
      </c>
      <c r="F23" s="66" t="inlineStr">
        <is>
          <t>شبرا</t>
        </is>
      </c>
      <c r="G23" s="66" t="inlineStr">
        <is>
          <t>الحزب</t>
        </is>
      </c>
      <c r="H23" s="66" t="n"/>
      <c r="I23" s="70" t="n"/>
      <c r="J23" s="66" t="inlineStr">
        <is>
          <t>انتشار مجتمعي</t>
        </is>
      </c>
      <c r="K23" s="68" t="n"/>
    </row>
    <row r="24" hidden="1" ht="37.5" customHeight="1">
      <c r="A24" s="61" t="inlineStr">
        <is>
          <t>تحقيق الإنتشار الدعوي عبر الملفات</t>
        </is>
      </c>
      <c r="B24" s="62" t="inlineStr">
        <is>
          <t>أ</t>
        </is>
      </c>
      <c r="C24" s="61" t="inlineStr">
        <is>
          <t>تنفيذ 6 جولات ميدانية شهريا ( جولة بكل قطاع )</t>
        </is>
      </c>
      <c r="D24" s="62" t="inlineStr">
        <is>
          <t>10 جمادى الأول - نوفمبر</t>
        </is>
      </c>
      <c r="E24" s="62" t="inlineStr">
        <is>
          <t>الأسبوع الرابع</t>
        </is>
      </c>
      <c r="F24" s="62" t="inlineStr">
        <is>
          <t>شبرا</t>
        </is>
      </c>
      <c r="G24" s="62" t="inlineStr">
        <is>
          <t>الحزب</t>
        </is>
      </c>
      <c r="H24" s="62" t="n"/>
      <c r="I24" s="63" t="n"/>
      <c r="J24" s="62" t="inlineStr">
        <is>
          <t>انتشار مجتمعي</t>
        </is>
      </c>
      <c r="K24" s="64" t="inlineStr">
        <is>
          <t xml:space="preserve">تكرر مرة كل شهر </t>
        </is>
      </c>
    </row>
    <row r="25" hidden="1" ht="56.25" customHeight="1">
      <c r="A25" s="65" t="inlineStr">
        <is>
          <t>تحقيق الإنتشار الدعوي عبر الملفات</t>
        </is>
      </c>
      <c r="B25" s="66" t="inlineStr">
        <is>
          <t>أ</t>
        </is>
      </c>
      <c r="C25" s="65" t="inlineStr">
        <is>
          <t xml:space="preserve">إقامة معرض مفروشات وبطاطين بالمقر تستهدف الكتلة الصلبة ودوائر التاثير </t>
        </is>
      </c>
      <c r="D25" s="66" t="inlineStr">
        <is>
          <t>10 جمادى الأول - نوفمبر</t>
        </is>
      </c>
      <c r="E25" s="66" t="inlineStr">
        <is>
          <t>الأسبوع الرابع</t>
        </is>
      </c>
      <c r="F25" s="66" t="inlineStr">
        <is>
          <t>شبرا</t>
        </is>
      </c>
      <c r="G25" s="66" t="inlineStr">
        <is>
          <t>الحزب</t>
        </is>
      </c>
      <c r="H25" s="66" t="n"/>
      <c r="I25" s="67" t="n"/>
      <c r="J25" s="66" t="inlineStr">
        <is>
          <t>انتشار مجتمعي</t>
        </is>
      </c>
      <c r="K25" s="68" t="n"/>
    </row>
    <row r="26" hidden="1" ht="56.25" customHeight="1">
      <c r="A26" s="61" t="inlineStr">
        <is>
          <t>التحصين الفكري المستمر لجميع الإخوة والأخوات فيما يخص قضايا الدعوة المميزةِ والقضايا المستجدة</t>
        </is>
      </c>
      <c r="B26" s="62" t="inlineStr">
        <is>
          <t>أ</t>
        </is>
      </c>
      <c r="C26" s="61" t="inlineStr">
        <is>
          <t>عمل دورة اليوم الواحد عن العمل السياسي (صالون ثقافي لعموم الشباب)</t>
        </is>
      </c>
      <c r="D26" s="62" t="inlineStr">
        <is>
          <t>11 جمادى الثاني - ديسمبر</t>
        </is>
      </c>
      <c r="E26" s="62" t="inlineStr">
        <is>
          <t>الأسبوع الأول</t>
        </is>
      </c>
      <c r="F26" s="62" t="inlineStr">
        <is>
          <t>شبرا</t>
        </is>
      </c>
      <c r="G26" s="62" t="inlineStr">
        <is>
          <t>الحزب</t>
        </is>
      </c>
      <c r="H26" s="62" t="n"/>
      <c r="I26" s="69" t="n"/>
      <c r="J26" s="62" t="inlineStr">
        <is>
          <t>ملتقى علمي</t>
        </is>
      </c>
      <c r="K26" s="64" t="inlineStr">
        <is>
          <t>مرتين فى السنة</t>
        </is>
      </c>
    </row>
    <row r="27" hidden="1" ht="37.5" customHeight="1">
      <c r="A27" s="65" t="inlineStr">
        <is>
          <t>تحقيق الإنتشار الدعوي عبر الملفات</t>
        </is>
      </c>
      <c r="B27" s="66" t="inlineStr">
        <is>
          <t>أ</t>
        </is>
      </c>
      <c r="C27" s="65" t="inlineStr">
        <is>
          <t>تنفيذ 6 جولات ميدانية شهريا ( جولة بكل قطاع )</t>
        </is>
      </c>
      <c r="D27" s="66" t="inlineStr">
        <is>
          <t>11 جمادى الثاني - ديسمبر</t>
        </is>
      </c>
      <c r="E27" s="66" t="inlineStr">
        <is>
          <t>الأسبوع الرابع</t>
        </is>
      </c>
      <c r="F27" s="66" t="inlineStr">
        <is>
          <t>شبرا</t>
        </is>
      </c>
      <c r="G27" s="66" t="inlineStr">
        <is>
          <t>الحزب</t>
        </is>
      </c>
      <c r="H27" s="66" t="n"/>
      <c r="I27" s="70" t="n"/>
      <c r="J27" s="66" t="inlineStr">
        <is>
          <t>انتشار مجتمعي</t>
        </is>
      </c>
      <c r="K27" s="68" t="inlineStr">
        <is>
          <t xml:space="preserve">تكرر مرة كل شهر </t>
        </is>
      </c>
    </row>
    <row r="28" hidden="1" ht="37.5" customHeight="1">
      <c r="A28" s="61" t="inlineStr">
        <is>
          <t>تحقيق الإنتشار الدعوي عبر الملفات</t>
        </is>
      </c>
      <c r="B28" s="62" t="inlineStr">
        <is>
          <t>أ</t>
        </is>
      </c>
      <c r="C28" s="61" t="inlineStr">
        <is>
          <t>تنفيذ 6 جولات ميدانية شهريا ( جولة بكل قطاع )</t>
        </is>
      </c>
      <c r="D28" s="62" t="inlineStr">
        <is>
          <t>12 رجب - يناير</t>
        </is>
      </c>
      <c r="E28" s="62" t="inlineStr">
        <is>
          <t>الأسبوع الرابع</t>
        </is>
      </c>
      <c r="F28" s="62" t="inlineStr">
        <is>
          <t>شبرا</t>
        </is>
      </c>
      <c r="G28" s="62" t="inlineStr">
        <is>
          <t>الحزب</t>
        </is>
      </c>
      <c r="H28" s="62" t="n"/>
      <c r="I28" s="63" t="n"/>
      <c r="J28" s="62" t="inlineStr">
        <is>
          <t>انتشار مجتمعي</t>
        </is>
      </c>
      <c r="K28" s="64" t="inlineStr">
        <is>
          <t xml:space="preserve">تكرر مرة كل شهر </t>
        </is>
      </c>
    </row>
    <row r="29" hidden="1" ht="37.5" customHeight="1">
      <c r="A29" s="65" t="inlineStr">
        <is>
          <t>تحقيق الإنتشار الدعوي عبر الملفات</t>
        </is>
      </c>
      <c r="B29" s="66" t="inlineStr">
        <is>
          <t>أ</t>
        </is>
      </c>
      <c r="C29" s="65" t="inlineStr">
        <is>
          <t xml:space="preserve">جلسة مفتوحة لفريق عمل الحزب بالمركز </t>
        </is>
      </c>
      <c r="D29" s="66" t="inlineStr">
        <is>
          <t>12 رجب - يناير</t>
        </is>
      </c>
      <c r="E29" s="66" t="inlineStr">
        <is>
          <t>الأسبوع الرابع</t>
        </is>
      </c>
      <c r="F29" s="66" t="inlineStr">
        <is>
          <t>شبرا</t>
        </is>
      </c>
      <c r="G29" s="66" t="inlineStr">
        <is>
          <t>الحزب</t>
        </is>
      </c>
      <c r="H29" s="66" t="n"/>
      <c r="I29" s="67" t="n"/>
      <c r="J29" s="66" t="inlineStr">
        <is>
          <t>انتشار مجتمعي</t>
        </is>
      </c>
      <c r="K29" s="68" t="n"/>
    </row>
    <row r="30" hidden="1" ht="93.75" customHeight="1">
      <c r="A30" s="61" t="inlineStr">
        <is>
          <t>تحقيق الإنتشار الدعوي عبر الملفات</t>
        </is>
      </c>
      <c r="B30" s="62" t="inlineStr">
        <is>
          <t>أ</t>
        </is>
      </c>
      <c r="C30" s="61" t="inlineStr">
        <is>
          <t xml:space="preserve">ندوة بعنوان حصاد حزب النور خلال العام ورؤية العام القادم ( عرض ما تم في العام السابق والخطة الجديدة )تستهدف فريق عمل الحزب + الكتلة الصلبة نساء ورجال </t>
        </is>
      </c>
      <c r="D30" s="62" t="inlineStr">
        <is>
          <t>12 رجب - يناير</t>
        </is>
      </c>
      <c r="E30" s="62" t="inlineStr">
        <is>
          <t>الأسبوع الرابع</t>
        </is>
      </c>
      <c r="F30" s="62" t="inlineStr">
        <is>
          <t>شبرا</t>
        </is>
      </c>
      <c r="G30" s="62" t="inlineStr">
        <is>
          <t>الحزب</t>
        </is>
      </c>
      <c r="H30" s="62" t="n"/>
      <c r="I30" s="63" t="n"/>
      <c r="J30" s="62" t="inlineStr">
        <is>
          <t>ملتقى علمي</t>
        </is>
      </c>
      <c r="K30" s="64" t="n"/>
    </row>
  </sheetData>
  <autoFilter ref="A1:K30">
    <filterColumn colId="3" hiddenButton="0" showButton="1">
      <filters>
        <filter val="05 ذو الحجة - يونيو"/>
        <filter val="06 محرم - يوليو"/>
      </filters>
    </filterColumn>
  </autoFilter>
  <conditionalFormatting sqref="H1:H30">
    <cfRule type="cellIs" priority="1" operator="equal" dxfId="4">
      <formula>"تم"</formula>
    </cfRule>
    <cfRule type="cellIs" priority="2" operator="equal" dxfId="3">
      <formula>"لم يتم"</formula>
    </cfRule>
    <cfRule type="cellIs" priority="3" operator="equal" dxfId="2">
      <formula>"جاري العمل عليه"</formula>
    </cfRule>
    <cfRule type="cellIs" priority="4" operator="equal" dxfId="1">
      <formula>"لم يتم الرد"</formula>
    </cfRule>
    <cfRule type="cellIs" priority="5" operator="equal" dxfId="0">
      <formula>"لم يأتي موعده"</formula>
    </cfRule>
  </conditionalFormatting>
  <dataValidations count="4">
    <dataValidation sqref="H2:H30" showDropDown="0" showInputMessage="1" showErrorMessage="1" allowBlank="1" type="list">
      <formula1>"تم, لم يتم, جاري العمل عليه, لم يتم الرد, لم يأتي موعده"</formula1>
    </dataValidation>
    <dataValidation sqref="G2:G30" showDropDown="0" showInputMessage="1" showErrorMessage="1" allowBlank="1" type="list">
      <formula1>"الإداري, الطلائع, الشباب, القرآن, العلمية, الدعوة العامة, الحزب, النسائية, المحافظة"</formula1>
    </dataValidation>
    <dataValidation sqref="F2:F30" showDropDown="0" showInputMessage="1" showErrorMessage="1" allowBlank="1" type="list">
      <formula1>"القناطر, بنها, شبرا, قليوب, شبين, كفر شكر, طوخ, 01 المحافظة"</formula1>
    </dataValidation>
    <dataValidation sqref="E2:E30" showDropDown="0" showInputMessage="1" showErrorMessage="1" allowBlank="1" type="list">
      <formula1>"الأسبوع الأول, الأسبوع الثاني, الأسبوع الثالث, الأسبوع الرابع, الأسبوع الخامس"</formula1>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Hassan Youssef</dc:creator>
  <dcterms:created xmlns:dcterms="http://purl.org/dc/terms/" xmlns:xsi="http://www.w3.org/2001/XMLSchema-instance" xsi:type="dcterms:W3CDTF">2025-04-29T09:42:18Z</dcterms:created>
  <dcterms:modified xmlns:dcterms="http://purl.org/dc/terms/" xmlns:xsi="http://www.w3.org/2001/XMLSchema-instance" xsi:type="dcterms:W3CDTF">2026-06-19T18:48:21Z</dcterms:modified>
  <cp:lastModifiedBy>Mohamed Mamdouh-Ali, Vodafone</cp:lastModifiedBy>
</cp:coreProperties>
</file>